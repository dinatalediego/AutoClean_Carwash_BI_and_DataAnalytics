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3B74383-31F4-46E0-B0C3-C54E6D435356}" xr6:coauthVersionLast="47" xr6:coauthVersionMax="47" xr10:uidLastSave="{00000000-0000-0000-0000-000000000000}"/>
  <bookViews>
    <workbookView xWindow="-120" yWindow="-120" windowWidth="29040" windowHeight="15840" activeTab="1" xr2:uid="{876D702E-5A9F-4DC6-AB03-CFE6ABA8EC86}"/>
  </bookViews>
  <sheets>
    <sheet name="TRABAJO DIARIO" sheetId="5" r:id="rId1"/>
    <sheet name="EFECTIVO-YAPE DIARIO" sheetId="6" r:id="rId2"/>
    <sheet name="PAGOS Y ALMUERZO" sheetId="3" r:id="rId3"/>
  </sheets>
  <definedNames>
    <definedName name="_xlnm._FilterDatabase" localSheetId="0" hidden="1">'TRABAJO DIARIO'!$C$3:$J$232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6" i="6" l="1"/>
  <c r="F64" i="6"/>
  <c r="F61" i="6"/>
  <c r="E72" i="6"/>
  <c r="L65" i="6"/>
  <c r="I233" i="5"/>
  <c r="B33" i="3"/>
  <c r="N31" i="3" l="1"/>
  <c r="O31" i="3" s="1"/>
  <c r="P31" i="3" s="1"/>
  <c r="Q31" i="3" s="1"/>
  <c r="K32" i="3" s="1"/>
  <c r="L32" i="3" s="1"/>
  <c r="M32" i="3" s="1"/>
  <c r="N32" i="3" s="1"/>
  <c r="O32" i="3" s="1"/>
  <c r="P32" i="3" s="1"/>
  <c r="Q32" i="3" s="1"/>
  <c r="K33" i="3" s="1"/>
  <c r="L33" i="3" s="1"/>
  <c r="M33" i="3" s="1"/>
  <c r="N33" i="3" s="1"/>
  <c r="O33" i="3" s="1"/>
  <c r="P33" i="3" s="1"/>
  <c r="Q33" i="3" s="1"/>
  <c r="K34" i="3" s="1"/>
  <c r="L34" i="3" s="1"/>
  <c r="M34" i="3" s="1"/>
  <c r="N34" i="3" s="1"/>
  <c r="O34" i="3" s="1"/>
  <c r="P34" i="3" s="1"/>
  <c r="Q34" i="3" s="1"/>
  <c r="K35" i="3" s="1"/>
  <c r="L35" i="3" s="1"/>
  <c r="M35" i="3" s="1"/>
  <c r="N35" i="3" s="1"/>
  <c r="O35" i="3" s="1"/>
  <c r="D35" i="3"/>
  <c r="E35" i="3"/>
  <c r="F35" i="3" s="1"/>
  <c r="D34" i="3"/>
  <c r="E34" i="3"/>
  <c r="F34" i="3" s="1"/>
  <c r="G34" i="3" s="1"/>
  <c r="H34" i="3" s="1"/>
  <c r="B35" i="3" s="1"/>
  <c r="C35" i="3" s="1"/>
  <c r="D33" i="3"/>
  <c r="E33" i="3" s="1"/>
  <c r="F33" i="3" s="1"/>
  <c r="G33" i="3" s="1"/>
  <c r="H33" i="3" s="1"/>
  <c r="B34" i="3" s="1"/>
  <c r="C34" i="3" s="1"/>
  <c r="C33" i="3"/>
  <c r="D32" i="3"/>
  <c r="E32" i="3"/>
  <c r="F32" i="3"/>
  <c r="G32" i="3"/>
  <c r="H32" i="3"/>
  <c r="C32" i="3"/>
  <c r="B32" i="3"/>
  <c r="F31" i="3"/>
  <c r="G31" i="3" s="1"/>
  <c r="H31" i="3" s="1"/>
  <c r="E31" i="3"/>
  <c r="G54" i="6"/>
  <c r="E54" i="6"/>
  <c r="C54" i="6"/>
  <c r="G50" i="6"/>
  <c r="G55" i="6" s="1"/>
  <c r="E50" i="6"/>
  <c r="C50" i="6"/>
  <c r="O43" i="6"/>
  <c r="M43" i="6"/>
  <c r="K43" i="6"/>
  <c r="I43" i="6"/>
  <c r="G43" i="6"/>
  <c r="E43" i="6"/>
  <c r="C43" i="6"/>
  <c r="O39" i="6"/>
  <c r="M39" i="6"/>
  <c r="K39" i="6"/>
  <c r="I39" i="6"/>
  <c r="G39" i="6"/>
  <c r="E39" i="6"/>
  <c r="C39" i="6"/>
  <c r="U20" i="3"/>
  <c r="E28" i="6"/>
  <c r="E32" i="6"/>
  <c r="O32" i="6"/>
  <c r="M32" i="6"/>
  <c r="K32" i="6"/>
  <c r="I32" i="6"/>
  <c r="G32" i="6"/>
  <c r="C32" i="6"/>
  <c r="O28" i="6"/>
  <c r="M28" i="6"/>
  <c r="K28" i="6"/>
  <c r="I28" i="6"/>
  <c r="G28" i="6"/>
  <c r="C28" i="6"/>
  <c r="O21" i="6"/>
  <c r="M21" i="6"/>
  <c r="K21" i="6"/>
  <c r="I21" i="6"/>
  <c r="G21" i="6"/>
  <c r="E21" i="6"/>
  <c r="C21" i="6"/>
  <c r="O17" i="6"/>
  <c r="M17" i="6"/>
  <c r="K17" i="6"/>
  <c r="I17" i="6"/>
  <c r="G17" i="6"/>
  <c r="E17" i="6"/>
  <c r="C17" i="6"/>
  <c r="O10" i="6"/>
  <c r="M10" i="6"/>
  <c r="K10" i="6"/>
  <c r="I10" i="6"/>
  <c r="G10" i="6"/>
  <c r="E10" i="6"/>
  <c r="O6" i="6"/>
  <c r="M6" i="6"/>
  <c r="K6" i="6"/>
  <c r="I6" i="6"/>
  <c r="G6" i="6"/>
  <c r="E6" i="6"/>
  <c r="C10" i="6"/>
  <c r="C6" i="6"/>
  <c r="L20" i="3"/>
  <c r="M20" i="3" s="1"/>
  <c r="N20" i="3" s="1"/>
  <c r="O20" i="3" s="1"/>
  <c r="P20" i="3" s="1"/>
  <c r="Q20" i="3" s="1"/>
  <c r="K21" i="3" s="1"/>
  <c r="L21" i="3" s="1"/>
  <c r="M21" i="3" s="1"/>
  <c r="N21" i="3" s="1"/>
  <c r="O21" i="3" s="1"/>
  <c r="P21" i="3" s="1"/>
  <c r="Q21" i="3" s="1"/>
  <c r="K22" i="3" s="1"/>
  <c r="L22" i="3" s="1"/>
  <c r="M22" i="3" s="1"/>
  <c r="N22" i="3" s="1"/>
  <c r="O22" i="3" s="1"/>
  <c r="P22" i="3" s="1"/>
  <c r="Q22" i="3" s="1"/>
  <c r="K23" i="3" s="1"/>
  <c r="L23" i="3" s="1"/>
  <c r="M23" i="3" s="1"/>
  <c r="N23" i="3" s="1"/>
  <c r="O23" i="3" s="1"/>
  <c r="P23" i="3" s="1"/>
  <c r="Q23" i="3" s="1"/>
  <c r="K24" i="3" s="1"/>
  <c r="L24" i="3" s="1"/>
  <c r="C20" i="3"/>
  <c r="D20" i="3" s="1"/>
  <c r="E20" i="3" s="1"/>
  <c r="F20" i="3" s="1"/>
  <c r="G20" i="3" s="1"/>
  <c r="H20" i="3" s="1"/>
  <c r="B21" i="3" s="1"/>
  <c r="C21" i="3" s="1"/>
  <c r="D21" i="3" s="1"/>
  <c r="E21" i="3" s="1"/>
  <c r="F21" i="3" s="1"/>
  <c r="G21" i="3" s="1"/>
  <c r="H21" i="3" s="1"/>
  <c r="B22" i="3" s="1"/>
  <c r="C22" i="3" s="1"/>
  <c r="D22" i="3" s="1"/>
  <c r="E22" i="3" s="1"/>
  <c r="F22" i="3" s="1"/>
  <c r="G22" i="3" s="1"/>
  <c r="H22" i="3" s="1"/>
  <c r="B23" i="3" s="1"/>
  <c r="C23" i="3" s="1"/>
  <c r="D23" i="3" s="1"/>
  <c r="E23" i="3" s="1"/>
  <c r="F23" i="3" s="1"/>
  <c r="G23" i="3" s="1"/>
  <c r="H23" i="3" s="1"/>
  <c r="B24" i="3" s="1"/>
  <c r="C24" i="3" s="1"/>
  <c r="P9" i="3"/>
  <c r="Q9" i="3" s="1"/>
  <c r="K10" i="3" s="1"/>
  <c r="L10" i="3" s="1"/>
  <c r="M10" i="3" s="1"/>
  <c r="N10" i="3" s="1"/>
  <c r="O10" i="3" s="1"/>
  <c r="P10" i="3" s="1"/>
  <c r="Q10" i="3" s="1"/>
  <c r="K11" i="3" s="1"/>
  <c r="L11" i="3" s="1"/>
  <c r="M11" i="3" s="1"/>
  <c r="N11" i="3" s="1"/>
  <c r="O11" i="3" s="1"/>
  <c r="P11" i="3" s="1"/>
  <c r="Q11" i="3" s="1"/>
  <c r="K12" i="3" s="1"/>
  <c r="L12" i="3" s="1"/>
  <c r="M12" i="3" s="1"/>
  <c r="N12" i="3" s="1"/>
  <c r="O12" i="3" s="1"/>
  <c r="P12" i="3" s="1"/>
  <c r="Q12" i="3" s="1"/>
  <c r="K13" i="3" s="1"/>
  <c r="L13" i="3" s="1"/>
  <c r="M13" i="3" s="1"/>
  <c r="N13" i="3" s="1"/>
  <c r="O13" i="3" s="1"/>
  <c r="P13" i="3" s="1"/>
  <c r="Q13" i="3" s="1"/>
  <c r="E55" i="6" l="1"/>
  <c r="C55" i="6"/>
  <c r="E22" i="6"/>
  <c r="G22" i="6"/>
  <c r="I22" i="6"/>
  <c r="K22" i="6"/>
  <c r="O22" i="6"/>
  <c r="C22" i="6"/>
  <c r="O44" i="6"/>
  <c r="M44" i="6"/>
  <c r="C44" i="6"/>
  <c r="E44" i="6"/>
  <c r="I44" i="6"/>
  <c r="K44" i="6"/>
  <c r="G44" i="6"/>
  <c r="K33" i="6"/>
  <c r="G33" i="6"/>
  <c r="I33" i="6"/>
  <c r="C11" i="6"/>
  <c r="C33" i="6"/>
  <c r="M33" i="6"/>
  <c r="O33" i="6"/>
  <c r="E33" i="6"/>
  <c r="M22" i="6"/>
  <c r="E11" i="6"/>
  <c r="G11" i="6"/>
  <c r="O11" i="6"/>
  <c r="M11" i="6"/>
  <c r="K11" i="6"/>
  <c r="I11" i="6"/>
  <c r="G9" i="3"/>
  <c r="H9" i="3" l="1"/>
  <c r="B10" i="3" s="1"/>
  <c r="C10" i="3" s="1"/>
  <c r="D10" i="3" s="1"/>
  <c r="E10" i="3" s="1"/>
  <c r="F10" i="3" s="1"/>
  <c r="G10" i="3" s="1"/>
  <c r="H10" i="3" s="1"/>
  <c r="B11" i="3" s="1"/>
  <c r="C11" i="3" s="1"/>
  <c r="D11" i="3" s="1"/>
  <c r="E11" i="3" s="1"/>
  <c r="F11" i="3" s="1"/>
  <c r="G11" i="3" s="1"/>
  <c r="H11" i="3" s="1"/>
  <c r="B12" i="3" s="1"/>
  <c r="C12" i="3" s="1"/>
  <c r="D12" i="3" s="1"/>
  <c r="E12" i="3" s="1"/>
  <c r="F12" i="3" s="1"/>
  <c r="G12" i="3" s="1"/>
  <c r="H12" i="3" s="1"/>
  <c r="B13" i="3" s="1"/>
  <c r="C13" i="3" s="1"/>
  <c r="D13" i="3" s="1"/>
  <c r="E13" i="3" s="1"/>
  <c r="F13" i="3" s="1"/>
  <c r="G13" i="3" s="1"/>
  <c r="H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Geraldo</author>
  </authors>
  <commentList>
    <comment ref="H7" authorId="0" shapeId="0" xr:uid="{1D657001-14E6-48BD-89A5-E52511E1F325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CERA+ULVERIZADA
</t>
        </r>
      </text>
    </comment>
    <comment ref="H20" authorId="0" shapeId="0" xr:uid="{6B0FD46B-87A3-46AD-89C1-557A7ECA9346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+CERA</t>
        </r>
      </text>
    </comment>
    <comment ref="H21" authorId="0" shapeId="0" xr:uid="{3B1D898E-408E-456A-B59D-BFDBA5386E90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+CERA + FORRO</t>
        </r>
      </text>
    </comment>
    <comment ref="H55" authorId="0" shapeId="0" xr:uid="{9C10763B-12B3-48B7-9E67-71E384DFD451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56" authorId="0" shapeId="0" xr:uid="{E521AF17-5B7E-4C9E-B63E-6C9AC128DC54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61" authorId="0" shapeId="0" xr:uid="{6D399415-13A4-4992-8F92-BCF3AF6F69D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63" authorId="0" shapeId="0" xr:uid="{714A7294-DCEC-405C-9119-837EAF341F7A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65" authorId="0" shapeId="0" xr:uid="{B5273647-3998-45E5-8F26-20AD8F3DB30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LAVADO DE PUERTAS</t>
        </r>
      </text>
    </comment>
    <comment ref="H80" authorId="0" shapeId="0" xr:uid="{BB778BB6-D549-45F2-92A5-C612FC1DEB1E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81" authorId="0" shapeId="0" xr:uid="{079B3987-750F-49D1-A36A-9A87A24C3B6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84" authorId="0" shapeId="0" xr:uid="{8FFBA46A-E9EE-4DD7-93C1-139A676C0363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FORRO</t>
        </r>
      </text>
    </comment>
    <comment ref="H87" authorId="0" shapeId="0" xr:uid="{03183FE1-A160-49C7-8A66-FBBA18505945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PULVERIZADO</t>
        </r>
      </text>
    </comment>
    <comment ref="H102" authorId="0" shapeId="0" xr:uid="{DADA6480-9366-48E0-AB51-80A2BAFC3ABE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06" authorId="0" shapeId="0" xr:uid="{AF086F8C-324F-401A-B842-13F3F1E5BBA6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+CERA             </t>
        </r>
      </text>
    </comment>
    <comment ref="J109" authorId="0" shapeId="0" xr:uid="{12B75998-B869-471C-9E08-BA9D70E1B535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10 EFECTIVO- 2 YAPE</t>
        </r>
      </text>
    </comment>
    <comment ref="J111" authorId="0" shapeId="0" xr:uid="{47353E23-7EC4-4AC7-9168-45BE4CE7B374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15 EFECTIVO-10 YAPE</t>
        </r>
      </text>
    </comment>
    <comment ref="J114" authorId="0" shapeId="0" xr:uid="{CDD9A515-4EAE-4976-B8A6-66D08DB965BE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MARIA ESPINOZA RONDON</t>
        </r>
      </text>
    </comment>
    <comment ref="I115" authorId="0" shapeId="0" xr:uid="{FA86218C-5587-4EAF-B2CB-4F09FE9E143C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I116" authorId="0" shapeId="0" xr:uid="{A2B778B8-E45A-437A-837D-624882248C05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25" authorId="0" shapeId="0" xr:uid="{DB07AB00-EBB4-4F7B-AE28-F577B6B6D8C6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26" authorId="0" shapeId="0" xr:uid="{9F1E9E4F-10FB-40B6-8FBF-58B19B90D2A7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40" authorId="0" shapeId="0" xr:uid="{AEF4B547-ECB1-4CEB-B7EE-C279452AA5A7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8 + 4 CERA</t>
        </r>
      </text>
    </comment>
    <comment ref="H143" authorId="0" shapeId="0" xr:uid="{98F06918-FF41-4FEA-9A31-0B9995A79A2A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49" authorId="0" shapeId="0" xr:uid="{0880128F-0335-450C-BABC-BEC03B596D68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67" authorId="0" shapeId="0" xr:uid="{777A3B1D-626B-4055-BD0F-8F95C91E12F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71" authorId="0" shapeId="0" xr:uid="{CD6EE017-049B-4764-AF58-1A7157F86CF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175" authorId="0" shapeId="0" xr:uid="{49BD526A-334A-45B6-956A-A7AF684E8011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PULVERIZADO</t>
        </r>
      </text>
    </comment>
    <comment ref="J180" authorId="0" shapeId="0" xr:uid="{D206E89A-FFA9-4EEE-8DB2-06E74669D6C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JELSIN PALACIOS CHANHUALLA</t>
        </r>
      </text>
    </comment>
    <comment ref="H199" authorId="0" shapeId="0" xr:uid="{213C7A51-06DA-4E0D-ACD0-EED4EA610F0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206" authorId="0" shapeId="0" xr:uid="{7228FE9F-48A4-465E-8614-BF1E25800F74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217" authorId="0" shapeId="0" xr:uid="{8C09AA14-CBC4-4BFF-B54B-B3A68F078FEF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219" authorId="0" shapeId="0" xr:uid="{DBC93878-2523-45F9-8B68-B944CD8E4E2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224" authorId="0" shapeId="0" xr:uid="{68958697-0CC9-4FF7-A65F-F154EEF6C872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  <comment ref="H225" authorId="0" shapeId="0" xr:uid="{3E933B60-E3EC-4148-82D2-8EF63E46C046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 CERA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Geraldo</author>
  </authors>
  <commentList>
    <comment ref="H13" authorId="0" shapeId="0" xr:uid="{BB79D375-501B-4B37-8A24-89290543BBBC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ADELANTO 25 MARTIN
INGRESO ROBERTO
PAGO MARTIN 45</t>
        </r>
      </text>
    </comment>
    <comment ref="M13" authorId="0" shapeId="0" xr:uid="{DE2E1481-78B4-449E-9625-43CB80BE599F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10 SOLES A MARTIN PARA ALMUERZO FLACA
</t>
        </r>
      </text>
    </comment>
    <comment ref="O13" authorId="0" shapeId="0" xr:uid="{E4ABE786-8EAC-467A-ADC8-72BB3BEFB65E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+20 SOLES ALMUERZO DIEGO </t>
        </r>
      </text>
    </comment>
    <comment ref="B20" authorId="0" shapeId="0" xr:uid="{927301C5-ECF4-40E4-B08D-CDF19ABE8D07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FALTÒ MARTÌN
</t>
        </r>
      </text>
    </comment>
    <comment ref="C20" authorId="0" shapeId="0" xr:uid="{4A33BDD8-8E93-47BC-B374-614B72A2054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ADELANTO GABRIEL 10
ADELANTO MARTIN 5</t>
        </r>
      </text>
    </comment>
    <comment ref="D20" authorId="0" shapeId="0" xr:uid="{24426E91-4A21-445A-BED0-583CA3910C26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GERALDO PAGO 110</t>
        </r>
      </text>
    </comment>
    <comment ref="E20" authorId="0" shapeId="0" xr:uid="{4A45047D-73BF-4885-A8D2-075CB4888EFE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ADELANTO ROBERTO 15
ADELANTO GABRIEL 55
ACCIDENTE MARTIN</t>
        </r>
      </text>
    </comment>
    <comment ref="G20" authorId="0" shapeId="0" xr:uid="{0BD9149F-3691-48D3-9D8E-5FBFA21B7909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+10 GABRIEL CENA
+10 ROBERTO CENA</t>
        </r>
      </text>
    </comment>
    <comment ref="N20" authorId="0" shapeId="0" xr:uid="{DC13732F-B264-4945-94DB-A738C69C9ACF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Geraldo:
ALMUERZO GERALDO 10</t>
        </r>
      </text>
    </comment>
    <comment ref="P20" authorId="0" shapeId="0" xr:uid="{FB808237-C985-4402-9E54-9251B37BCC59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ALMUERZO ALVARO 10
GERALDO DIÒ 20 SOLES ALMUERZO
</t>
        </r>
      </text>
    </comment>
    <comment ref="Q20" authorId="0" shapeId="0" xr:uid="{18970FC8-A3F9-4D67-B92A-F0F810FA8534}">
      <text>
        <r>
          <rPr>
            <b/>
            <sz val="9"/>
            <color indexed="81"/>
            <rFont val="Tahoma"/>
            <family val="2"/>
          </rPr>
          <t>Geraldo:
+MOTO RECOJO CARRO CHINO PARAISO ORIENTAL</t>
        </r>
      </text>
    </comment>
    <comment ref="C21" authorId="0" shapeId="0" xr:uid="{109B70C1-CACB-43DA-A2A7-E25D317A78A8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ROBERTO SE RETIRO</t>
        </r>
      </text>
    </comment>
    <comment ref="E21" authorId="0" shapeId="0" xr:uid="{4D2515FB-5AA0-437E-95EF-DD9E2B1911A4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INGRESO JAIRO
</t>
        </r>
      </text>
    </comment>
    <comment ref="K21" authorId="0" shapeId="0" xr:uid="{AB76A4E0-3AF2-49BA-BA72-FC988F9460D7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GERALDO COMPRÒ 4 MENÙS</t>
        </r>
      </text>
    </comment>
    <comment ref="P21" authorId="0" shapeId="0" xr:uid="{FDAFB765-7711-420A-8DC6-2C60B72A4C56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BURBU-SOBRINA-ALVARO-GABRIEL-JAIRO
</t>
        </r>
      </text>
    </comment>
    <comment ref="H22" authorId="0" shapeId="0" xr:uid="{2BFC023D-B3EC-454F-9098-489CBF003519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+5 JAIRO
+5 ROBERTO
SE QUEDARON MÀS TARDE</t>
        </r>
      </text>
    </comment>
    <comment ref="P22" authorId="0" shapeId="0" xr:uid="{CFF9AF55-C22D-40F8-BC19-FBA899A99C62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20 CENA JAIRO-GABRIEL</t>
        </r>
      </text>
    </comment>
    <comment ref="C23" authorId="0" shapeId="0" xr:uid="{5FC423FF-8D35-46BA-9CA1-92A1C6749EDC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+10 SOLES SE LE PAGÒ A GABRIEL LAVADO NOCTURNO</t>
        </r>
      </text>
    </comment>
    <comment ref="D23" authorId="0" shapeId="0" xr:uid="{D1C69461-6AE4-4465-8367-21B751339341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+5 GABRIEL
+5 JAIRO
SE QUEDARON HASTA 
TARDE</t>
        </r>
      </text>
    </comment>
    <comment ref="F23" authorId="0" shapeId="0" xr:uid="{2FE5C70F-19A8-49B8-AD4D-5B5B0D17E4B7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+20 FARRITO LIMPIEZA DE SALON</t>
        </r>
      </text>
    </comment>
    <comment ref="C24" authorId="0" shapeId="0" xr:uid="{B164C504-F2BB-44D7-86C6-720AAA6BB597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GABRIEL 10 SOLES
</t>
        </r>
      </text>
    </comment>
    <comment ref="F31" authorId="0" shapeId="0" xr:uid="{C9097B80-4D12-472D-98FF-D1C1A3AE289D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Vuelto por yape 15</t>
        </r>
      </text>
    </comment>
    <comment ref="G31" authorId="0" shapeId="0" xr:uid="{BB180807-7E31-41E6-A674-1C17727361DF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MARTIN 20 MEDIO DÌA</t>
        </r>
      </text>
    </comment>
    <comment ref="H31" authorId="0" shapeId="0" xr:uid="{17239C00-892E-40FD-8875-A3F06E2C93D0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20 SOLES FARRITO CHAMBA LE DIJO A GERALDO</t>
        </r>
      </text>
    </comment>
    <comment ref="C32" authorId="0" shapeId="0" xr:uid="{FC757ACA-D5AE-4938-BB3B-267CB24AE039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VUELTO POR YAPE 30
PARABRISAS S/13.00
MARTIN 20+MENÙ 11 A 5 PM</t>
        </r>
      </text>
    </comment>
    <comment ref="D32" authorId="0" shapeId="0" xr:uid="{CFB98E5E-6779-4E46-8A7B-DD782701A90F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AGUA DESTILADA S/12.00</t>
        </r>
      </text>
    </comment>
    <comment ref="F32" authorId="0" shapeId="0" xr:uid="{315A86A1-8AC8-4A48-A6FB-503551C6C03A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15 JAIRO GABRIEL ALVARO</t>
        </r>
      </text>
    </comment>
    <comment ref="G32" authorId="0" shapeId="0" xr:uid="{1426391A-4DDA-42A8-B500-D5396EFA4411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MARTIN 30
VUELTO POR YAPE 5</t>
        </r>
      </text>
    </comment>
    <comment ref="H32" authorId="0" shapeId="0" xr:uid="{08C3C6B3-F005-4CE9-B7EB-83BCFB1E8FE3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60 PAGO FARRITO Y 8 DE TAXI</t>
        </r>
      </text>
    </comment>
    <comment ref="P32" authorId="0" shapeId="0" xr:uid="{30A949E1-9A49-4EAC-8694-5D57A442847A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MARTIN ALMUERZO 10</t>
        </r>
      </text>
    </comment>
    <comment ref="E33" authorId="0" shapeId="0" xr:uid="{7D298C41-C1E6-4EEC-A44E-09E2DA370B97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+5 GABRIEL
+5 JAIRO
40 FARRITO PAGO LIMPIEZA</t>
        </r>
      </text>
    </comment>
    <comment ref="F33" authorId="0" shapeId="0" xr:uid="{A1B8A879-DA3A-44C9-A5C7-79F97DFEBEE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VUELTO 20 POR YAPE
MARTIN 40</t>
        </r>
      </text>
    </comment>
    <comment ref="H33" authorId="0" shapeId="0" xr:uid="{C092E317-6140-46B5-885B-47AF64EF9CB9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+5 GABRIEL
+5 JAIRO
+5 MARTIN</t>
        </r>
      </text>
    </comment>
    <comment ref="D34" authorId="0" shapeId="0" xr:uid="{93ACB150-39CD-43C0-A8E4-2A187A7F9C80}">
      <text>
        <r>
          <rPr>
            <b/>
            <sz val="9"/>
            <color indexed="81"/>
            <rFont val="Tahoma"/>
            <charset val="1"/>
          </rPr>
          <t>Geraldo:
+5 GABRIEL</t>
        </r>
      </text>
    </comment>
    <comment ref="E34" authorId="0" shapeId="0" xr:uid="{36029965-6316-45B8-88A1-F237F922927C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25 MARTIN
45 SOLES LAVADO DE SALON FARRO</t>
        </r>
      </text>
    </comment>
    <comment ref="G34" authorId="0" shapeId="0" xr:uid="{4D11CD51-4CE1-4AFA-A579-5A522FDEAFDB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MARTIN 25
</t>
        </r>
      </text>
    </comment>
    <comment ref="H34" authorId="0" shapeId="0" xr:uid="{3D07D523-07DD-4450-A513-47EC1F113F76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FARRITO 45</t>
        </r>
      </text>
    </comment>
    <comment ref="B35" authorId="0" shapeId="0" xr:uid="{8018EBE9-0FD2-4EAB-AEBE-8087A6D5A2B9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FARRITO 45</t>
        </r>
      </text>
    </comment>
    <comment ref="C35" authorId="0" shapeId="0" xr:uid="{B4CE7433-49D5-47CE-A20B-F95E9E69A29A}">
      <text>
        <r>
          <rPr>
            <b/>
            <sz val="9"/>
            <color indexed="81"/>
            <rFont val="Tahoma"/>
            <family val="2"/>
          </rPr>
          <t>Geraldo:</t>
        </r>
        <r>
          <rPr>
            <sz val="9"/>
            <color indexed="81"/>
            <rFont val="Tahoma"/>
            <family val="2"/>
          </rPr>
          <t xml:space="preserve">
FARRITO 45</t>
        </r>
      </text>
    </comment>
    <comment ref="E35" authorId="0" shapeId="0" xr:uid="{5F772D58-63C0-4251-813E-D3CE11029032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VUELTO 35 POR YAPE</t>
        </r>
      </text>
    </comment>
    <comment ref="F35" authorId="0" shapeId="0" xr:uid="{DEF69C24-E638-4E25-8C61-699C34B4178F}">
      <text>
        <r>
          <rPr>
            <b/>
            <sz val="9"/>
            <color indexed="81"/>
            <rFont val="Tahoma"/>
            <charset val="1"/>
          </rPr>
          <t>Geraldo:</t>
        </r>
        <r>
          <rPr>
            <sz val="9"/>
            <color indexed="81"/>
            <rFont val="Tahoma"/>
            <charset val="1"/>
          </rPr>
          <t xml:space="preserve">
FARRO 45 +5
GABRIEL +5
PERRÒN 23
VUELTO POR YAPE 5</t>
        </r>
      </text>
    </comment>
  </commentList>
</comments>
</file>

<file path=xl/sharedStrings.xml><?xml version="1.0" encoding="utf-8"?>
<sst xmlns="http://schemas.openxmlformats.org/spreadsheetml/2006/main" count="1334" uniqueCount="325">
  <si>
    <t>TOTAL</t>
  </si>
  <si>
    <t>GABRIEL</t>
  </si>
  <si>
    <t>DOMINGO</t>
  </si>
  <si>
    <t>LUNES</t>
  </si>
  <si>
    <t>MARTES</t>
  </si>
  <si>
    <t>MIERCOLES</t>
  </si>
  <si>
    <t>JUEVES</t>
  </si>
  <si>
    <t>VIERNES</t>
  </si>
  <si>
    <t>SÀBADO</t>
  </si>
  <si>
    <t>MAYO-PAGO</t>
  </si>
  <si>
    <t>MAYO-ALMUERZO</t>
  </si>
  <si>
    <t>N°</t>
  </si>
  <si>
    <t>FECHA</t>
  </si>
  <si>
    <t>SERVICIO</t>
  </si>
  <si>
    <t>VEHICULO</t>
  </si>
  <si>
    <t>RAZON SOCIAL</t>
  </si>
  <si>
    <t>PLACA</t>
  </si>
  <si>
    <t>STANDAR</t>
  </si>
  <si>
    <t>CAMIONETA</t>
  </si>
  <si>
    <t>EXPRESS</t>
  </si>
  <si>
    <t>CARRO</t>
  </si>
  <si>
    <t>MOTO</t>
  </si>
  <si>
    <t>PRECIO</t>
  </si>
  <si>
    <t>-</t>
  </si>
  <si>
    <t>YAPE</t>
  </si>
  <si>
    <t>EFECTIVO</t>
  </si>
  <si>
    <t>PREMIUM</t>
  </si>
  <si>
    <t>MARTIN</t>
  </si>
  <si>
    <t>CKH-295</t>
  </si>
  <si>
    <t>JEPTOUR MORADA</t>
  </si>
  <si>
    <t>JUNIO-PAGO</t>
  </si>
  <si>
    <t>GABRIEL-MARTIN-ROBERTO</t>
  </si>
  <si>
    <t>AZUL</t>
  </si>
  <si>
    <t>JUNIO-ALMUERZO</t>
  </si>
  <si>
    <t>LINEAL AZUL</t>
  </si>
  <si>
    <t>PAGO</t>
  </si>
  <si>
    <t>ALMUERZO</t>
  </si>
  <si>
    <t>+</t>
  </si>
  <si>
    <t>TIPO DE PAGO</t>
  </si>
  <si>
    <t>MOTO TAXI</t>
  </si>
  <si>
    <t>KIA PICANTO NEGRO</t>
  </si>
  <si>
    <t>BZJ-746</t>
  </si>
  <si>
    <t>C2G-346</t>
  </si>
  <si>
    <t>LINEAL PULSAR NEGRA</t>
  </si>
  <si>
    <t>ATZ-666</t>
  </si>
  <si>
    <t>5668-MP</t>
  </si>
  <si>
    <t>LINEAL NEGRA</t>
  </si>
  <si>
    <t>KIA RIO NEGRO</t>
  </si>
  <si>
    <t>LINEAL NARANJA</t>
  </si>
  <si>
    <t>4274-7V</t>
  </si>
  <si>
    <t>B2J-013</t>
  </si>
  <si>
    <t>HYUNDAI GRIS</t>
  </si>
  <si>
    <t>LINEAL CELESTE</t>
  </si>
  <si>
    <t>2639-7A</t>
  </si>
  <si>
    <t>BXG-270</t>
  </si>
  <si>
    <t xml:space="preserve">KIA SPORTAGE </t>
  </si>
  <si>
    <t>2621-JC</t>
  </si>
  <si>
    <t>2605-5A</t>
  </si>
  <si>
    <t>BUJ-572</t>
  </si>
  <si>
    <t>T2C-279</t>
  </si>
  <si>
    <t>HYUNDAI VERNA ROJO</t>
  </si>
  <si>
    <t>3355-XB</t>
  </si>
  <si>
    <t>M6L-413</t>
  </si>
  <si>
    <t>TOYOTA PLOMO</t>
  </si>
  <si>
    <t>AMG-156</t>
  </si>
  <si>
    <t>SUBARU GRIS</t>
  </si>
  <si>
    <t>ALW-676</t>
  </si>
  <si>
    <t>KIA CERATO NEGRO</t>
  </si>
  <si>
    <t>BCA-462</t>
  </si>
  <si>
    <t>GRIS</t>
  </si>
  <si>
    <t>ATG-289</t>
  </si>
  <si>
    <t>MERCEDES GLA 200</t>
  </si>
  <si>
    <t>MINIVAN</t>
  </si>
  <si>
    <t>BLANCA</t>
  </si>
  <si>
    <t>CJW-498</t>
  </si>
  <si>
    <t>FORD BLANCA</t>
  </si>
  <si>
    <t>1973-CA</t>
  </si>
  <si>
    <t>HONDA CR-V NEGRA</t>
  </si>
  <si>
    <t>LAVADO DE SALON</t>
  </si>
  <si>
    <t>BRH-432</t>
  </si>
  <si>
    <t>KIA SPORTAGE ROJA</t>
  </si>
  <si>
    <t>RGG-350</t>
  </si>
  <si>
    <t>JEEP ROJA</t>
  </si>
  <si>
    <t>CSE-570</t>
  </si>
  <si>
    <t>TOYOTA RUSH</t>
  </si>
  <si>
    <t>CHEVROLET ROJA</t>
  </si>
  <si>
    <t>AVV-148</t>
  </si>
  <si>
    <t>KIA PICANTO MARRÒN</t>
  </si>
  <si>
    <t>7216-6A</t>
  </si>
  <si>
    <t>ROJA</t>
  </si>
  <si>
    <t>CSF-345</t>
  </si>
  <si>
    <t>BLH-034</t>
  </si>
  <si>
    <t xml:space="preserve">SOLO LLANTAS </t>
  </si>
  <si>
    <t>CLH-370</t>
  </si>
  <si>
    <t xml:space="preserve">MOTO </t>
  </si>
  <si>
    <t>LINEAL RODRIGO</t>
  </si>
  <si>
    <t>DEBE</t>
  </si>
  <si>
    <t>VAGAZO</t>
  </si>
  <si>
    <t>BVF-453</t>
  </si>
  <si>
    <t>NEGRA</t>
  </si>
  <si>
    <t>BCY-30S</t>
  </si>
  <si>
    <t>LINEAL</t>
  </si>
  <si>
    <t>ARB-243</t>
  </si>
  <si>
    <t>0533-NB</t>
  </si>
  <si>
    <t>BBJ-074</t>
  </si>
  <si>
    <t>CPK-530</t>
  </si>
  <si>
    <t>F7K-245</t>
  </si>
  <si>
    <t>NEGRO</t>
  </si>
  <si>
    <t>CRJ-223</t>
  </si>
  <si>
    <t>LINEAL EZIO</t>
  </si>
  <si>
    <t>BLACK</t>
  </si>
  <si>
    <t>BRF-690</t>
  </si>
  <si>
    <t>KIA SPORTAGE</t>
  </si>
  <si>
    <t>B9T-118</t>
  </si>
  <si>
    <t>HYUNDAI ACCENT</t>
  </si>
  <si>
    <t>A8X-419</t>
  </si>
  <si>
    <t>HYUNDAI TUCSSON</t>
  </si>
  <si>
    <t>D8Q-459</t>
  </si>
  <si>
    <t>CHEVROLET NEGRO</t>
  </si>
  <si>
    <t>BAQ-150</t>
  </si>
  <si>
    <t>PLOMA</t>
  </si>
  <si>
    <t>ASJ-285</t>
  </si>
  <si>
    <t>MAZDA</t>
  </si>
  <si>
    <t>2134-VC</t>
  </si>
  <si>
    <t>LINEAL HONDA NAVI</t>
  </si>
  <si>
    <t>6462-9A</t>
  </si>
  <si>
    <t>BZH-356</t>
  </si>
  <si>
    <t>CEK-557</t>
  </si>
  <si>
    <t>SUZUKI</t>
  </si>
  <si>
    <t>SUZUKI CREMA</t>
  </si>
  <si>
    <t>C4Z-096</t>
  </si>
  <si>
    <t>MAZDA ROJO</t>
  </si>
  <si>
    <t xml:space="preserve">FORD  </t>
  </si>
  <si>
    <t>BUS-316</t>
  </si>
  <si>
    <t>JAC PLOMO</t>
  </si>
  <si>
    <t>BJF-280</t>
  </si>
  <si>
    <t>SUV MAZDA</t>
  </si>
  <si>
    <t>5931-AC</t>
  </si>
  <si>
    <t>YAPE 6 -EFECTIVO 6</t>
  </si>
  <si>
    <t>CC0-716</t>
  </si>
  <si>
    <t>MAZDA BLANCO</t>
  </si>
  <si>
    <t>LINEAL BLANCA</t>
  </si>
  <si>
    <t>CRETA</t>
  </si>
  <si>
    <t>KIA NEGRO</t>
  </si>
  <si>
    <t>BKA-552</t>
  </si>
  <si>
    <t>HONDA ROJA</t>
  </si>
  <si>
    <t>LINEAL NEGRA LLAMAFOOD</t>
  </si>
  <si>
    <t>LINEAL NAVI BLANCA</t>
  </si>
  <si>
    <t>F4S-553</t>
  </si>
  <si>
    <t>HONDA NEGRA</t>
  </si>
  <si>
    <t>FON-217</t>
  </si>
  <si>
    <t>HYUNDAI ACCENT PLOMO</t>
  </si>
  <si>
    <t>TOYOTA YARIS</t>
  </si>
  <si>
    <t>HYUNDAI SANTA FE</t>
  </si>
  <si>
    <t>BRV-370</t>
  </si>
  <si>
    <t>SUZUKI VITARA</t>
  </si>
  <si>
    <t>NISSAN SENTRA ROJO</t>
  </si>
  <si>
    <t>BYU-454</t>
  </si>
  <si>
    <t>HONDA</t>
  </si>
  <si>
    <t>HYUNDAI TUCSSON VERDE</t>
  </si>
  <si>
    <t>MAZDA NEGRO</t>
  </si>
  <si>
    <t>BXS-390</t>
  </si>
  <si>
    <t>FORD NEGRA</t>
  </si>
  <si>
    <t>B35-341</t>
  </si>
  <si>
    <t xml:space="preserve">HONDA CR-V  </t>
  </si>
  <si>
    <t>LINEAL SENDA NEGRA</t>
  </si>
  <si>
    <t>HYUNDAI CRETA</t>
  </si>
  <si>
    <t>AZG-662</t>
  </si>
  <si>
    <t>DUSTER PLOMA</t>
  </si>
  <si>
    <t>CDB-735</t>
  </si>
  <si>
    <t>JIM BLANCA</t>
  </si>
  <si>
    <t>CCG-473</t>
  </si>
  <si>
    <t>CLT-199</t>
  </si>
  <si>
    <t>TOYOTA RUSH ROJA</t>
  </si>
  <si>
    <t>BVX-360</t>
  </si>
  <si>
    <t xml:space="preserve">HYUNDAI </t>
  </si>
  <si>
    <t>BRB-277</t>
  </si>
  <si>
    <t>CAD-446</t>
  </si>
  <si>
    <t>CDO-068</t>
  </si>
  <si>
    <t>ANE-644</t>
  </si>
  <si>
    <t>BLANCO</t>
  </si>
  <si>
    <t>COI-161</t>
  </si>
  <si>
    <t xml:space="preserve">                                                                                                                       </t>
  </si>
  <si>
    <t>8491-2D</t>
  </si>
  <si>
    <t>EFECTIVO-YAPE</t>
  </si>
  <si>
    <t>HYUNDAI TUCSSON BLANCA</t>
  </si>
  <si>
    <t>AZX-143</t>
  </si>
  <si>
    <t>STEYCHON AZUL</t>
  </si>
  <si>
    <t>HAVAL BLANCA</t>
  </si>
  <si>
    <t>BDG-608</t>
  </si>
  <si>
    <t>D2A-109</t>
  </si>
  <si>
    <t>LINEAL LLAMAFOOD</t>
  </si>
  <si>
    <t>CPL-606</t>
  </si>
  <si>
    <t>BJG-158</t>
  </si>
  <si>
    <t>NISSAN GRIS</t>
  </si>
  <si>
    <t>ADZ-060</t>
  </si>
  <si>
    <t>ROJO</t>
  </si>
  <si>
    <t>CSE-172</t>
  </si>
  <si>
    <t>HYUNDAI ROJO</t>
  </si>
  <si>
    <t>B90-418</t>
  </si>
  <si>
    <t>KIA PICANTO</t>
  </si>
  <si>
    <t>MITSUBICHI GRIS</t>
  </si>
  <si>
    <t>9957-7F</t>
  </si>
  <si>
    <t>BH5-371</t>
  </si>
  <si>
    <t>TOYOTA</t>
  </si>
  <si>
    <t>D30-261</t>
  </si>
  <si>
    <t>CHEVROLET ROJO</t>
  </si>
  <si>
    <t>CNT-352</t>
  </si>
  <si>
    <t>CHANGAN WIGO BLANCO</t>
  </si>
  <si>
    <t>CMY-672</t>
  </si>
  <si>
    <t>NISSAN ROJO</t>
  </si>
  <si>
    <t>B3V-105</t>
  </si>
  <si>
    <t>HYUNDAI GRAND I 10 BLANCO</t>
  </si>
  <si>
    <t>ARO-236</t>
  </si>
  <si>
    <t>AUDI AZUL</t>
  </si>
  <si>
    <t>D9V-02</t>
  </si>
  <si>
    <t>HYUNDAI VELOZTER</t>
  </si>
  <si>
    <t>CP5-209</t>
  </si>
  <si>
    <t>PLOMO</t>
  </si>
  <si>
    <t>CAI-604</t>
  </si>
  <si>
    <t>KIA</t>
  </si>
  <si>
    <t>U1E-276</t>
  </si>
  <si>
    <t>0464-BB</t>
  </si>
  <si>
    <t>APA-751</t>
  </si>
  <si>
    <t>MOTO CARGA</t>
  </si>
  <si>
    <t>BCY-305</t>
  </si>
  <si>
    <t>CCO-692</t>
  </si>
  <si>
    <t>CAMIÒN</t>
  </si>
  <si>
    <t>BRANCO</t>
  </si>
  <si>
    <t>HYUNDAI ACCENT NEGRO</t>
  </si>
  <si>
    <t>MITSUBICHI BLANCA</t>
  </si>
  <si>
    <t>BJJ-333</t>
  </si>
  <si>
    <t>5599-RA</t>
  </si>
  <si>
    <t>LINEAL ROJA</t>
  </si>
  <si>
    <t>CER-822</t>
  </si>
  <si>
    <t>NISSAN FRONTIER BLANCA</t>
  </si>
  <si>
    <t>AFX-122</t>
  </si>
  <si>
    <t>AUDI RICAR A3</t>
  </si>
  <si>
    <t>AFC-728</t>
  </si>
  <si>
    <t>FORD RANGER</t>
  </si>
  <si>
    <t>CELESTE</t>
  </si>
  <si>
    <t>A7Q-532</t>
  </si>
  <si>
    <t>TOYOTA NEGRO</t>
  </si>
  <si>
    <t>BHP-930</t>
  </si>
  <si>
    <t>YAPE 25 - EFECTIVO 5</t>
  </si>
  <si>
    <t>SUBARU</t>
  </si>
  <si>
    <t>B3K-429</t>
  </si>
  <si>
    <t>WOLSVAGEN</t>
  </si>
  <si>
    <t>ALE-416</t>
  </si>
  <si>
    <t>7980-YB</t>
  </si>
  <si>
    <t>TAXI(SÒLO LLANTAS)</t>
  </si>
  <si>
    <t>B16-559</t>
  </si>
  <si>
    <t>CJX-681</t>
  </si>
  <si>
    <t>4627-AC</t>
  </si>
  <si>
    <t>LINEAL PULSAR 160</t>
  </si>
  <si>
    <t>4890-5C</t>
  </si>
  <si>
    <t>A70-306</t>
  </si>
  <si>
    <t>CALDINA</t>
  </si>
  <si>
    <t>7452-AD</t>
  </si>
  <si>
    <t>LINEAL NEXUS 250</t>
  </si>
  <si>
    <t>BKI-765</t>
  </si>
  <si>
    <t>AZ6-662</t>
  </si>
  <si>
    <t>RENAULT</t>
  </si>
  <si>
    <t>ATO-035</t>
  </si>
  <si>
    <t>F4M-699</t>
  </si>
  <si>
    <t>COY-674</t>
  </si>
  <si>
    <t>SAIL</t>
  </si>
  <si>
    <t>BUU-542</t>
  </si>
  <si>
    <t>NISSA</t>
  </si>
  <si>
    <t>AAL-113</t>
  </si>
  <si>
    <t>BHH-912</t>
  </si>
  <si>
    <t>PEUGEOT</t>
  </si>
  <si>
    <t>TUCSSON</t>
  </si>
  <si>
    <t>ADY-216</t>
  </si>
  <si>
    <t>AUDI Q7</t>
  </si>
  <si>
    <t>BVE-486</t>
  </si>
  <si>
    <t>ALD-573</t>
  </si>
  <si>
    <t>CJV-626</t>
  </si>
  <si>
    <t>CHEVROLET</t>
  </si>
  <si>
    <t>BMW BLANCA</t>
  </si>
  <si>
    <t>P3D-293</t>
  </si>
  <si>
    <t>KIA RIO ROJO</t>
  </si>
  <si>
    <t>CTO-540</t>
  </si>
  <si>
    <t>SUZUKI BLANCA</t>
  </si>
  <si>
    <t>BUZ-047</t>
  </si>
  <si>
    <t>KIA RIO PLOMO</t>
  </si>
  <si>
    <t>W3S-498</t>
  </si>
  <si>
    <t>HYUNDAI i10</t>
  </si>
  <si>
    <t>LAVADO DE COLCHÒN</t>
  </si>
  <si>
    <t>Z7B-031</t>
  </si>
  <si>
    <t>SUV CHEVROLET</t>
  </si>
  <si>
    <t>LAVADO DE SALÒN CAMIONETA TOYOTA V2G-811</t>
  </si>
  <si>
    <t>CPS-209</t>
  </si>
  <si>
    <t>BMW PLOMO</t>
  </si>
  <si>
    <t>HYUNDAI PLOMO</t>
  </si>
  <si>
    <t>BAZ-622</t>
  </si>
  <si>
    <t>HYUNDAI CRETA BLANCA</t>
  </si>
  <si>
    <t>T5V-390</t>
  </si>
  <si>
    <t>TOYOTA ROJO</t>
  </si>
  <si>
    <t>MARRON</t>
  </si>
  <si>
    <t>LINEAL NEGRO</t>
  </si>
  <si>
    <t>H2F-290</t>
  </si>
  <si>
    <t>TOYOTA BLANCO</t>
  </si>
  <si>
    <t>BCP</t>
  </si>
  <si>
    <t>CCW-921</t>
  </si>
  <si>
    <t>DONFEN PLOMA</t>
  </si>
  <si>
    <t>JULIO-PAGO</t>
  </si>
  <si>
    <t>JULIO-ALMUERZO</t>
  </si>
  <si>
    <t>PANADERIA PASTELERIA LA ESTRELLA</t>
  </si>
  <si>
    <t>DIANA</t>
  </si>
  <si>
    <t>YAPE DEBE</t>
  </si>
  <si>
    <t>FORD</t>
  </si>
  <si>
    <t>PERSONAL MÁS OTRAS EXTRAS</t>
  </si>
  <si>
    <t>GASTOS</t>
  </si>
  <si>
    <t>ARRENDAMIENTO</t>
  </si>
  <si>
    <t>ADMINISTRADOR</t>
  </si>
  <si>
    <t>PERSONAL Y ALMUERZOS</t>
  </si>
  <si>
    <t>GASTOS DE INSUMOS Y OTROS</t>
  </si>
  <si>
    <t>SERVICIOS BASICOS</t>
  </si>
  <si>
    <t>AGUA</t>
  </si>
  <si>
    <t>LUZ</t>
  </si>
  <si>
    <t>INTERNET</t>
  </si>
  <si>
    <t>TOTAL DE INGRESOS</t>
  </si>
  <si>
    <t>TOTAL  DE EGRESOS</t>
  </si>
  <si>
    <t>INGRESOS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</si>
</sst>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S/-280A]\ #,##0.00"/>
    <numFmt numFmtId="165" formatCode="dd/mm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5" fontId="1" fillId="9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F462-2EEA-42A9-93D3-00625944F06B}">
  <dimension ref="C2:J233"/>
  <sheetViews>
    <sheetView topLeftCell="A208" workbookViewId="0">
      <selection activeCell="H217" sqref="H217"/>
    </sheetView>
  </sheetViews>
  <sheetFormatPr baseColWidth="10" defaultRowHeight="15" x14ac:dyDescent="0.25"/>
  <cols>
    <col min="1" max="2" width="11.42578125" style="1"/>
    <col min="3" max="3" width="7.5703125" style="1" bestFit="1" customWidth="1"/>
    <col min="4" max="4" width="11.7109375" style="1" bestFit="1" customWidth="1"/>
    <col min="5" max="5" width="14.42578125" style="1" bestFit="1" customWidth="1"/>
    <col min="6" max="6" width="15" style="1" bestFit="1" customWidth="1"/>
    <col min="7" max="7" width="11.85546875" style="1" bestFit="1" customWidth="1"/>
    <col min="8" max="8" width="24.5703125" style="1" bestFit="1" customWidth="1"/>
    <col min="9" max="9" width="12.5703125" style="1" bestFit="1" customWidth="1"/>
    <col min="10" max="10" width="33.85546875" style="1" bestFit="1" customWidth="1"/>
    <col min="11" max="16384" width="11.42578125" style="1"/>
  </cols>
  <sheetData>
    <row r="2" spans="3:10" ht="16.5" customHeight="1" x14ac:dyDescent="0.25"/>
    <row r="3" spans="3:10" x14ac:dyDescent="0.25">
      <c r="C3" s="6" t="s">
        <v>11</v>
      </c>
      <c r="D3" s="6" t="s">
        <v>12</v>
      </c>
      <c r="E3" s="6" t="s">
        <v>13</v>
      </c>
      <c r="F3" s="6" t="s">
        <v>14</v>
      </c>
      <c r="G3" s="6" t="s">
        <v>16</v>
      </c>
      <c r="H3" s="6" t="s">
        <v>15</v>
      </c>
      <c r="I3" s="6" t="s">
        <v>22</v>
      </c>
      <c r="J3" s="6" t="s">
        <v>38</v>
      </c>
    </row>
    <row r="4" spans="3:10" x14ac:dyDescent="0.25">
      <c r="C4" s="7">
        <v>1</v>
      </c>
      <c r="D4" s="18">
        <v>45839</v>
      </c>
      <c r="E4" s="10" t="s">
        <v>17</v>
      </c>
      <c r="F4" s="10" t="s">
        <v>21</v>
      </c>
      <c r="G4" s="10" t="s">
        <v>49</v>
      </c>
      <c r="H4" s="10" t="s">
        <v>43</v>
      </c>
      <c r="I4" s="11">
        <v>8</v>
      </c>
      <c r="J4" s="10" t="s">
        <v>24</v>
      </c>
    </row>
    <row r="5" spans="3:10" x14ac:dyDescent="0.25">
      <c r="C5" s="7">
        <v>2</v>
      </c>
      <c r="D5" s="18">
        <v>45839</v>
      </c>
      <c r="E5" s="7" t="s">
        <v>17</v>
      </c>
      <c r="F5" s="7" t="s">
        <v>18</v>
      </c>
      <c r="G5" s="7" t="s">
        <v>50</v>
      </c>
      <c r="H5" s="7" t="s">
        <v>51</v>
      </c>
      <c r="I5" s="19">
        <v>25</v>
      </c>
      <c r="J5" s="7" t="s">
        <v>25</v>
      </c>
    </row>
    <row r="6" spans="3:10" x14ac:dyDescent="0.25">
      <c r="C6" s="7">
        <v>3</v>
      </c>
      <c r="D6" s="18">
        <v>45839</v>
      </c>
      <c r="E6" s="7" t="s">
        <v>17</v>
      </c>
      <c r="F6" s="7" t="s">
        <v>21</v>
      </c>
      <c r="G6" s="7" t="s">
        <v>53</v>
      </c>
      <c r="H6" s="7" t="s">
        <v>52</v>
      </c>
      <c r="I6" s="19">
        <v>8</v>
      </c>
      <c r="J6" s="7" t="s">
        <v>24</v>
      </c>
    </row>
    <row r="7" spans="3:10" x14ac:dyDescent="0.25">
      <c r="C7" s="7">
        <v>4</v>
      </c>
      <c r="D7" s="18">
        <v>45839</v>
      </c>
      <c r="E7" s="7" t="s">
        <v>17</v>
      </c>
      <c r="F7" s="7" t="s">
        <v>18</v>
      </c>
      <c r="G7" s="7" t="s">
        <v>41</v>
      </c>
      <c r="H7" s="7"/>
      <c r="I7" s="19">
        <v>40</v>
      </c>
      <c r="J7" s="7" t="s">
        <v>25</v>
      </c>
    </row>
    <row r="8" spans="3:10" x14ac:dyDescent="0.25">
      <c r="C8" s="7">
        <v>5</v>
      </c>
      <c r="D8" s="18">
        <v>45839</v>
      </c>
      <c r="E8" s="7" t="s">
        <v>17</v>
      </c>
      <c r="F8" s="7" t="s">
        <v>39</v>
      </c>
      <c r="G8" s="7"/>
      <c r="H8" s="7" t="s">
        <v>32</v>
      </c>
      <c r="I8" s="19">
        <v>12</v>
      </c>
      <c r="J8" s="7" t="s">
        <v>24</v>
      </c>
    </row>
    <row r="9" spans="3:10" x14ac:dyDescent="0.25">
      <c r="C9" s="7">
        <v>6</v>
      </c>
      <c r="D9" s="18">
        <v>45839</v>
      </c>
      <c r="E9" s="7" t="s">
        <v>17</v>
      </c>
      <c r="F9" s="7" t="s">
        <v>18</v>
      </c>
      <c r="G9" s="7" t="s">
        <v>54</v>
      </c>
      <c r="H9" s="7" t="s">
        <v>55</v>
      </c>
      <c r="I9" s="19">
        <v>15</v>
      </c>
      <c r="J9" s="7" t="s">
        <v>24</v>
      </c>
    </row>
    <row r="10" spans="3:10" x14ac:dyDescent="0.25">
      <c r="C10" s="7">
        <v>7</v>
      </c>
      <c r="D10" s="18">
        <v>45839</v>
      </c>
      <c r="E10" s="7" t="s">
        <v>17</v>
      </c>
      <c r="F10" s="7" t="s">
        <v>21</v>
      </c>
      <c r="G10" s="7" t="s">
        <v>56</v>
      </c>
      <c r="H10" s="7" t="s">
        <v>48</v>
      </c>
      <c r="I10" s="19">
        <v>10</v>
      </c>
      <c r="J10" s="7" t="s">
        <v>24</v>
      </c>
    </row>
    <row r="11" spans="3:10" x14ac:dyDescent="0.25">
      <c r="C11" s="7">
        <v>8</v>
      </c>
      <c r="D11" s="18">
        <v>45840</v>
      </c>
      <c r="E11" s="7" t="s">
        <v>17</v>
      </c>
      <c r="F11" s="7" t="s">
        <v>39</v>
      </c>
      <c r="G11" s="7" t="s">
        <v>57</v>
      </c>
      <c r="H11" s="7" t="s">
        <v>32</v>
      </c>
      <c r="I11" s="19">
        <v>12</v>
      </c>
      <c r="J11" s="7" t="s">
        <v>25</v>
      </c>
    </row>
    <row r="12" spans="3:10" x14ac:dyDescent="0.25">
      <c r="C12" s="7">
        <v>9</v>
      </c>
      <c r="D12" s="18">
        <v>45840</v>
      </c>
      <c r="E12" s="7" t="s">
        <v>26</v>
      </c>
      <c r="F12" s="7" t="s">
        <v>20</v>
      </c>
      <c r="G12" s="7" t="s">
        <v>59</v>
      </c>
      <c r="H12" s="7" t="s">
        <v>40</v>
      </c>
      <c r="I12" s="19">
        <v>55</v>
      </c>
      <c r="J12" s="7" t="s">
        <v>25</v>
      </c>
    </row>
    <row r="13" spans="3:10" x14ac:dyDescent="0.25">
      <c r="C13" s="7">
        <v>10</v>
      </c>
      <c r="D13" s="18">
        <v>45840</v>
      </c>
      <c r="E13" s="7" t="s">
        <v>19</v>
      </c>
      <c r="F13" s="7" t="s">
        <v>20</v>
      </c>
      <c r="G13" s="7" t="s">
        <v>58</v>
      </c>
      <c r="H13" s="7" t="s">
        <v>60</v>
      </c>
      <c r="I13" s="19">
        <v>20</v>
      </c>
      <c r="J13" s="7" t="s">
        <v>25</v>
      </c>
    </row>
    <row r="14" spans="3:10" x14ac:dyDescent="0.25">
      <c r="C14" s="7">
        <v>11</v>
      </c>
      <c r="D14" s="18">
        <v>45840</v>
      </c>
      <c r="E14" s="7" t="s">
        <v>17</v>
      </c>
      <c r="F14" s="7" t="s">
        <v>21</v>
      </c>
      <c r="G14" s="7" t="s">
        <v>61</v>
      </c>
      <c r="H14" s="7" t="s">
        <v>34</v>
      </c>
      <c r="I14" s="19">
        <v>9</v>
      </c>
      <c r="J14" s="7" t="s">
        <v>25</v>
      </c>
    </row>
    <row r="15" spans="3:10" x14ac:dyDescent="0.25">
      <c r="C15" s="7">
        <v>12</v>
      </c>
      <c r="D15" s="18">
        <v>45840</v>
      </c>
      <c r="E15" s="7" t="s">
        <v>26</v>
      </c>
      <c r="F15" s="7" t="s">
        <v>18</v>
      </c>
      <c r="G15" s="7" t="s">
        <v>44</v>
      </c>
      <c r="H15" s="7"/>
      <c r="I15" s="19"/>
      <c r="J15" s="7"/>
    </row>
    <row r="16" spans="3:10" x14ac:dyDescent="0.25">
      <c r="C16" s="7">
        <v>13</v>
      </c>
      <c r="D16" s="18">
        <v>45840</v>
      </c>
      <c r="E16" s="7" t="s">
        <v>17</v>
      </c>
      <c r="F16" s="7" t="s">
        <v>18</v>
      </c>
      <c r="G16" s="7" t="s">
        <v>62</v>
      </c>
      <c r="H16" s="7" t="s">
        <v>63</v>
      </c>
      <c r="I16" s="19">
        <v>35</v>
      </c>
      <c r="J16" s="7" t="s">
        <v>25</v>
      </c>
    </row>
    <row r="17" spans="3:10" x14ac:dyDescent="0.25">
      <c r="C17" s="7">
        <v>14</v>
      </c>
      <c r="D17" s="18">
        <v>45840</v>
      </c>
      <c r="E17" s="7" t="s">
        <v>26</v>
      </c>
      <c r="F17" s="7" t="s">
        <v>18</v>
      </c>
      <c r="G17" s="7" t="s">
        <v>28</v>
      </c>
      <c r="H17" s="7" t="s">
        <v>29</v>
      </c>
      <c r="I17" s="19">
        <v>45</v>
      </c>
      <c r="J17" s="7" t="s">
        <v>24</v>
      </c>
    </row>
    <row r="18" spans="3:10" x14ac:dyDescent="0.25">
      <c r="C18" s="7">
        <v>15</v>
      </c>
      <c r="D18" s="18">
        <v>45840</v>
      </c>
      <c r="E18" s="7" t="s">
        <v>17</v>
      </c>
      <c r="F18" s="7" t="s">
        <v>20</v>
      </c>
      <c r="G18" s="7" t="s">
        <v>42</v>
      </c>
      <c r="H18" s="7" t="s">
        <v>47</v>
      </c>
      <c r="I18" s="19">
        <v>15</v>
      </c>
      <c r="J18" s="7" t="s">
        <v>25</v>
      </c>
    </row>
    <row r="19" spans="3:10" x14ac:dyDescent="0.25">
      <c r="C19" s="7">
        <v>16</v>
      </c>
      <c r="D19" s="18">
        <v>45840</v>
      </c>
      <c r="E19" s="7" t="s">
        <v>17</v>
      </c>
      <c r="F19" s="7" t="s">
        <v>21</v>
      </c>
      <c r="G19" s="7" t="s">
        <v>45</v>
      </c>
      <c r="H19" s="7" t="s">
        <v>46</v>
      </c>
      <c r="I19" s="19">
        <v>8</v>
      </c>
      <c r="J19" s="7" t="s">
        <v>25</v>
      </c>
    </row>
    <row r="20" spans="3:10" x14ac:dyDescent="0.25">
      <c r="C20" s="7">
        <v>17</v>
      </c>
      <c r="D20" s="18">
        <v>45841</v>
      </c>
      <c r="E20" s="7" t="s">
        <v>17</v>
      </c>
      <c r="F20" s="7" t="s">
        <v>18</v>
      </c>
      <c r="G20" s="7" t="s">
        <v>64</v>
      </c>
      <c r="H20" s="7" t="s">
        <v>65</v>
      </c>
      <c r="I20" s="19">
        <v>35</v>
      </c>
      <c r="J20" s="7" t="s">
        <v>25</v>
      </c>
    </row>
    <row r="21" spans="3:10" x14ac:dyDescent="0.25">
      <c r="C21" s="7">
        <v>18</v>
      </c>
      <c r="D21" s="18">
        <v>45841</v>
      </c>
      <c r="E21" s="7" t="s">
        <v>17</v>
      </c>
      <c r="F21" s="7" t="s">
        <v>20</v>
      </c>
      <c r="G21" s="7" t="s">
        <v>66</v>
      </c>
      <c r="H21" s="7" t="s">
        <v>67</v>
      </c>
      <c r="I21" s="19">
        <v>55</v>
      </c>
      <c r="J21" s="7" t="s">
        <v>24</v>
      </c>
    </row>
    <row r="22" spans="3:10" x14ac:dyDescent="0.25">
      <c r="C22" s="7">
        <v>19</v>
      </c>
      <c r="D22" s="18">
        <v>45841</v>
      </c>
      <c r="E22" s="7" t="s">
        <v>26</v>
      </c>
      <c r="F22" s="7" t="s">
        <v>18</v>
      </c>
      <c r="G22" s="7" t="s">
        <v>68</v>
      </c>
      <c r="H22" s="7" t="s">
        <v>69</v>
      </c>
      <c r="I22" s="19">
        <v>35</v>
      </c>
      <c r="J22" s="7" t="s">
        <v>24</v>
      </c>
    </row>
    <row r="23" spans="3:10" x14ac:dyDescent="0.25">
      <c r="C23" s="7">
        <v>20</v>
      </c>
      <c r="D23" s="18">
        <v>45841</v>
      </c>
      <c r="E23" s="7" t="s">
        <v>26</v>
      </c>
      <c r="F23" s="7" t="s">
        <v>18</v>
      </c>
      <c r="G23" s="7" t="s">
        <v>70</v>
      </c>
      <c r="H23" s="7" t="s">
        <v>71</v>
      </c>
      <c r="I23" s="19">
        <v>50</v>
      </c>
      <c r="J23" s="7" t="s">
        <v>24</v>
      </c>
    </row>
    <row r="24" spans="3:10" x14ac:dyDescent="0.25">
      <c r="C24" s="7">
        <v>21</v>
      </c>
      <c r="D24" s="18">
        <v>45841</v>
      </c>
      <c r="E24" s="7" t="s">
        <v>17</v>
      </c>
      <c r="F24" s="7" t="s">
        <v>21</v>
      </c>
      <c r="G24" s="7"/>
      <c r="H24" s="7" t="s">
        <v>46</v>
      </c>
      <c r="I24" s="19">
        <v>9</v>
      </c>
      <c r="J24" s="7" t="s">
        <v>24</v>
      </c>
    </row>
    <row r="25" spans="3:10" x14ac:dyDescent="0.25">
      <c r="C25" s="7">
        <v>22</v>
      </c>
      <c r="D25" s="18">
        <v>45842</v>
      </c>
      <c r="E25" s="7" t="s">
        <v>17</v>
      </c>
      <c r="F25" s="7" t="s">
        <v>72</v>
      </c>
      <c r="G25" s="7"/>
      <c r="H25" s="7" t="s">
        <v>73</v>
      </c>
      <c r="I25" s="19">
        <v>20</v>
      </c>
      <c r="J25" s="7" t="s">
        <v>25</v>
      </c>
    </row>
    <row r="26" spans="3:10" x14ac:dyDescent="0.25">
      <c r="C26" s="7">
        <v>23</v>
      </c>
      <c r="D26" s="18">
        <v>45842</v>
      </c>
      <c r="E26" s="7" t="s">
        <v>17</v>
      </c>
      <c r="F26" s="7" t="s">
        <v>18</v>
      </c>
      <c r="G26" s="7" t="s">
        <v>74</v>
      </c>
      <c r="H26" s="7" t="s">
        <v>75</v>
      </c>
      <c r="I26" s="19">
        <v>25</v>
      </c>
      <c r="J26" s="7" t="s">
        <v>25</v>
      </c>
    </row>
    <row r="27" spans="3:10" x14ac:dyDescent="0.25">
      <c r="C27" s="7">
        <v>24</v>
      </c>
      <c r="D27" s="18">
        <v>45842</v>
      </c>
      <c r="E27" s="7" t="s">
        <v>17</v>
      </c>
      <c r="F27" s="7" t="s">
        <v>21</v>
      </c>
      <c r="G27" s="7"/>
      <c r="H27" s="7" t="s">
        <v>46</v>
      </c>
      <c r="I27" s="19">
        <v>10</v>
      </c>
      <c r="J27" s="7" t="s">
        <v>24</v>
      </c>
    </row>
    <row r="28" spans="3:10" x14ac:dyDescent="0.25">
      <c r="C28" s="7">
        <v>25</v>
      </c>
      <c r="D28" s="18">
        <v>45842</v>
      </c>
      <c r="E28" s="7" t="s">
        <v>17</v>
      </c>
      <c r="F28" s="7" t="s">
        <v>21</v>
      </c>
      <c r="G28" s="7" t="s">
        <v>76</v>
      </c>
      <c r="H28" s="7" t="s">
        <v>46</v>
      </c>
      <c r="I28" s="19">
        <v>9</v>
      </c>
      <c r="J28" s="7" t="s">
        <v>24</v>
      </c>
    </row>
    <row r="29" spans="3:10" x14ac:dyDescent="0.25">
      <c r="C29" s="7">
        <v>26</v>
      </c>
      <c r="D29" s="18">
        <v>45842</v>
      </c>
      <c r="E29" s="7" t="s">
        <v>19</v>
      </c>
      <c r="F29" s="7" t="s">
        <v>18</v>
      </c>
      <c r="G29" s="7"/>
      <c r="H29" s="7" t="s">
        <v>77</v>
      </c>
      <c r="I29" s="19">
        <v>15</v>
      </c>
      <c r="J29" s="7" t="s">
        <v>25</v>
      </c>
    </row>
    <row r="30" spans="3:10" x14ac:dyDescent="0.25">
      <c r="C30" s="7">
        <v>27</v>
      </c>
      <c r="D30" s="18">
        <v>45842</v>
      </c>
      <c r="E30" s="7" t="s">
        <v>78</v>
      </c>
      <c r="F30" s="7" t="s">
        <v>18</v>
      </c>
      <c r="G30" s="7" t="s">
        <v>79</v>
      </c>
      <c r="H30" s="7" t="s">
        <v>80</v>
      </c>
      <c r="I30" s="19">
        <v>220</v>
      </c>
      <c r="J30" s="7" t="s">
        <v>25</v>
      </c>
    </row>
    <row r="31" spans="3:10" x14ac:dyDescent="0.25">
      <c r="C31" s="7">
        <v>28</v>
      </c>
      <c r="D31" s="18">
        <v>45842</v>
      </c>
      <c r="E31" s="7" t="s">
        <v>17</v>
      </c>
      <c r="F31" s="7" t="s">
        <v>18</v>
      </c>
      <c r="G31" s="7" t="s">
        <v>81</v>
      </c>
      <c r="H31" s="7" t="s">
        <v>82</v>
      </c>
      <c r="I31" s="19">
        <v>25</v>
      </c>
      <c r="J31" s="7" t="s">
        <v>24</v>
      </c>
    </row>
    <row r="32" spans="3:10" x14ac:dyDescent="0.25">
      <c r="C32" s="7">
        <v>29</v>
      </c>
      <c r="D32" s="18">
        <v>45842</v>
      </c>
      <c r="E32" s="7" t="s">
        <v>19</v>
      </c>
      <c r="F32" s="7" t="s">
        <v>18</v>
      </c>
      <c r="G32" s="7" t="s">
        <v>83</v>
      </c>
      <c r="H32" s="7" t="s">
        <v>84</v>
      </c>
      <c r="I32" s="19">
        <v>15</v>
      </c>
      <c r="J32" s="7" t="s">
        <v>25</v>
      </c>
    </row>
    <row r="33" spans="3:10" x14ac:dyDescent="0.25">
      <c r="C33" s="7">
        <v>30</v>
      </c>
      <c r="D33" s="18">
        <v>45843</v>
      </c>
      <c r="E33" s="7" t="s">
        <v>26</v>
      </c>
      <c r="F33" s="7" t="s">
        <v>18</v>
      </c>
      <c r="G33" s="7"/>
      <c r="H33" s="7" t="s">
        <v>85</v>
      </c>
      <c r="I33" s="19">
        <v>50</v>
      </c>
      <c r="J33" s="7" t="s">
        <v>24</v>
      </c>
    </row>
    <row r="34" spans="3:10" x14ac:dyDescent="0.25">
      <c r="C34" s="7">
        <v>31</v>
      </c>
      <c r="D34" s="18">
        <v>45843</v>
      </c>
      <c r="E34" s="7" t="s">
        <v>17</v>
      </c>
      <c r="F34" s="7" t="s">
        <v>20</v>
      </c>
      <c r="G34" s="7" t="s">
        <v>86</v>
      </c>
      <c r="H34" s="7" t="s">
        <v>87</v>
      </c>
      <c r="I34" s="19">
        <v>20</v>
      </c>
      <c r="J34" s="7" t="s">
        <v>24</v>
      </c>
    </row>
    <row r="35" spans="3:10" x14ac:dyDescent="0.25">
      <c r="C35" s="7">
        <v>32</v>
      </c>
      <c r="D35" s="18">
        <v>45843</v>
      </c>
      <c r="E35" s="7" t="s">
        <v>17</v>
      </c>
      <c r="F35" s="7" t="s">
        <v>39</v>
      </c>
      <c r="G35" s="7" t="s">
        <v>88</v>
      </c>
      <c r="H35" s="7" t="s">
        <v>89</v>
      </c>
      <c r="I35" s="19">
        <v>12</v>
      </c>
      <c r="J35" s="7" t="s">
        <v>25</v>
      </c>
    </row>
    <row r="36" spans="3:10" x14ac:dyDescent="0.25">
      <c r="C36" s="7">
        <v>33</v>
      </c>
      <c r="D36" s="18">
        <v>45843</v>
      </c>
      <c r="E36" s="7" t="s">
        <v>17</v>
      </c>
      <c r="F36" s="7" t="s">
        <v>20</v>
      </c>
      <c r="G36" s="7" t="s">
        <v>90</v>
      </c>
      <c r="H36" s="7" t="s">
        <v>69</v>
      </c>
      <c r="I36" s="19">
        <v>20</v>
      </c>
      <c r="J36" s="7" t="s">
        <v>25</v>
      </c>
    </row>
    <row r="37" spans="3:10" x14ac:dyDescent="0.25">
      <c r="C37" s="7">
        <v>34</v>
      </c>
      <c r="D37" s="18">
        <v>45843</v>
      </c>
      <c r="E37" s="7" t="s">
        <v>17</v>
      </c>
      <c r="F37" s="7" t="s">
        <v>18</v>
      </c>
      <c r="G37" s="7" t="s">
        <v>91</v>
      </c>
      <c r="H37" s="7" t="s">
        <v>69</v>
      </c>
      <c r="I37" s="19">
        <v>25</v>
      </c>
      <c r="J37" s="7" t="s">
        <v>24</v>
      </c>
    </row>
    <row r="38" spans="3:10" x14ac:dyDescent="0.25">
      <c r="C38" s="7">
        <v>35</v>
      </c>
      <c r="D38" s="18">
        <v>45843</v>
      </c>
      <c r="E38" s="7" t="s">
        <v>19</v>
      </c>
      <c r="F38" s="7" t="s">
        <v>39</v>
      </c>
      <c r="G38" s="7"/>
      <c r="H38" s="7" t="s">
        <v>92</v>
      </c>
      <c r="I38" s="19">
        <v>2</v>
      </c>
      <c r="J38" s="7" t="s">
        <v>25</v>
      </c>
    </row>
    <row r="39" spans="3:10" x14ac:dyDescent="0.25">
      <c r="C39" s="7">
        <v>36</v>
      </c>
      <c r="D39" s="18">
        <v>45844</v>
      </c>
      <c r="E39" s="7" t="s">
        <v>17</v>
      </c>
      <c r="F39" s="7" t="s">
        <v>18</v>
      </c>
      <c r="G39" s="7" t="s">
        <v>93</v>
      </c>
      <c r="H39" s="7" t="s">
        <v>89</v>
      </c>
      <c r="I39" s="19">
        <v>20</v>
      </c>
      <c r="J39" s="7" t="s">
        <v>25</v>
      </c>
    </row>
    <row r="40" spans="3:10" x14ac:dyDescent="0.25">
      <c r="C40" s="7">
        <v>37</v>
      </c>
      <c r="D40" s="18">
        <v>45844</v>
      </c>
      <c r="E40" s="7" t="s">
        <v>17</v>
      </c>
      <c r="F40" s="7" t="s">
        <v>94</v>
      </c>
      <c r="G40" s="7"/>
      <c r="H40" s="7" t="s">
        <v>95</v>
      </c>
      <c r="I40" s="19" t="s">
        <v>96</v>
      </c>
      <c r="J40" s="7" t="s">
        <v>97</v>
      </c>
    </row>
    <row r="41" spans="3:10" x14ac:dyDescent="0.25">
      <c r="C41" s="7">
        <v>38</v>
      </c>
      <c r="D41" s="18">
        <v>45844</v>
      </c>
      <c r="E41" s="7" t="s">
        <v>17</v>
      </c>
      <c r="F41" s="7" t="s">
        <v>18</v>
      </c>
      <c r="G41" s="7" t="s">
        <v>98</v>
      </c>
      <c r="H41" s="7" t="s">
        <v>99</v>
      </c>
      <c r="I41" s="19">
        <v>20</v>
      </c>
      <c r="J41" s="7" t="s">
        <v>24</v>
      </c>
    </row>
    <row r="42" spans="3:10" x14ac:dyDescent="0.25">
      <c r="C42" s="7">
        <v>39</v>
      </c>
      <c r="D42" s="18">
        <v>45844</v>
      </c>
      <c r="E42" s="7" t="s">
        <v>17</v>
      </c>
      <c r="F42" s="7" t="s">
        <v>18</v>
      </c>
      <c r="G42" s="7" t="s">
        <v>100</v>
      </c>
      <c r="H42" s="7" t="s">
        <v>73</v>
      </c>
      <c r="I42" s="19">
        <v>25</v>
      </c>
      <c r="J42" s="7" t="s">
        <v>24</v>
      </c>
    </row>
    <row r="43" spans="3:10" x14ac:dyDescent="0.25">
      <c r="C43" s="7">
        <v>40</v>
      </c>
      <c r="D43" s="18">
        <v>45844</v>
      </c>
      <c r="E43" s="7" t="s">
        <v>17</v>
      </c>
      <c r="F43" s="7" t="s">
        <v>21</v>
      </c>
      <c r="G43" s="7"/>
      <c r="H43" s="7" t="s">
        <v>101</v>
      </c>
      <c r="I43" s="19">
        <v>10</v>
      </c>
      <c r="J43" s="7" t="s">
        <v>24</v>
      </c>
    </row>
    <row r="44" spans="3:10" x14ac:dyDescent="0.25">
      <c r="C44" s="7">
        <v>41</v>
      </c>
      <c r="D44" s="18">
        <v>45844</v>
      </c>
      <c r="E44" s="7" t="s">
        <v>26</v>
      </c>
      <c r="F44" s="7" t="s">
        <v>20</v>
      </c>
      <c r="G44" s="7" t="s">
        <v>102</v>
      </c>
      <c r="H44" s="7" t="s">
        <v>69</v>
      </c>
      <c r="I44" s="19">
        <v>45</v>
      </c>
      <c r="J44" s="7" t="s">
        <v>24</v>
      </c>
    </row>
    <row r="45" spans="3:10" x14ac:dyDescent="0.25">
      <c r="C45" s="7">
        <v>42</v>
      </c>
      <c r="D45" s="18">
        <v>45844</v>
      </c>
      <c r="E45" s="7" t="s">
        <v>17</v>
      </c>
      <c r="F45" s="7" t="s">
        <v>21</v>
      </c>
      <c r="G45" s="7" t="s">
        <v>103</v>
      </c>
      <c r="H45" s="7"/>
      <c r="I45" s="19">
        <v>10</v>
      </c>
      <c r="J45" s="7" t="s">
        <v>24</v>
      </c>
    </row>
    <row r="46" spans="3:10" x14ac:dyDescent="0.25">
      <c r="C46" s="7">
        <v>43</v>
      </c>
      <c r="D46" s="18">
        <v>45844</v>
      </c>
      <c r="E46" s="7" t="s">
        <v>26</v>
      </c>
      <c r="F46" s="7" t="s">
        <v>18</v>
      </c>
      <c r="G46" s="7" t="s">
        <v>104</v>
      </c>
      <c r="H46" s="7" t="s">
        <v>73</v>
      </c>
      <c r="I46" s="19">
        <v>45</v>
      </c>
      <c r="J46" s="7" t="s">
        <v>24</v>
      </c>
    </row>
    <row r="47" spans="3:10" x14ac:dyDescent="0.25">
      <c r="C47" s="7">
        <v>44</v>
      </c>
      <c r="D47" s="18">
        <v>45844</v>
      </c>
      <c r="E47" s="7" t="s">
        <v>17</v>
      </c>
      <c r="F47" s="7" t="s">
        <v>18</v>
      </c>
      <c r="G47" s="7" t="s">
        <v>105</v>
      </c>
      <c r="H47" s="7" t="s">
        <v>32</v>
      </c>
      <c r="I47" s="19">
        <v>25</v>
      </c>
      <c r="J47" s="7" t="s">
        <v>25</v>
      </c>
    </row>
    <row r="48" spans="3:10" x14ac:dyDescent="0.25">
      <c r="C48" s="7">
        <v>45</v>
      </c>
      <c r="D48" s="18">
        <v>45844</v>
      </c>
      <c r="E48" s="7" t="s">
        <v>17</v>
      </c>
      <c r="F48" s="7" t="s">
        <v>18</v>
      </c>
      <c r="G48" s="7" t="s">
        <v>106</v>
      </c>
      <c r="H48" s="7" t="s">
        <v>69</v>
      </c>
      <c r="I48" s="19">
        <v>20</v>
      </c>
      <c r="J48" s="7" t="s">
        <v>25</v>
      </c>
    </row>
    <row r="49" spans="3:10" x14ac:dyDescent="0.25">
      <c r="C49" s="7">
        <v>46</v>
      </c>
      <c r="D49" s="18">
        <v>45844</v>
      </c>
      <c r="E49" s="7" t="s">
        <v>19</v>
      </c>
      <c r="F49" s="7" t="s">
        <v>20</v>
      </c>
      <c r="G49" s="7"/>
      <c r="H49" s="7" t="s">
        <v>107</v>
      </c>
      <c r="I49" s="19">
        <v>15</v>
      </c>
      <c r="J49" s="7" t="s">
        <v>25</v>
      </c>
    </row>
    <row r="50" spans="3:10" x14ac:dyDescent="0.25">
      <c r="C50" s="7">
        <v>47</v>
      </c>
      <c r="D50" s="18">
        <v>45844</v>
      </c>
      <c r="E50" s="7" t="s">
        <v>17</v>
      </c>
      <c r="F50" s="7" t="s">
        <v>20</v>
      </c>
      <c r="G50" s="7"/>
      <c r="H50" s="7"/>
      <c r="I50" s="19">
        <v>20</v>
      </c>
      <c r="J50" s="7" t="s">
        <v>25</v>
      </c>
    </row>
    <row r="51" spans="3:10" x14ac:dyDescent="0.25">
      <c r="C51" s="7">
        <v>48</v>
      </c>
      <c r="D51" s="18">
        <v>45844</v>
      </c>
      <c r="E51" s="7" t="s">
        <v>17</v>
      </c>
      <c r="F51" s="7" t="s">
        <v>21</v>
      </c>
      <c r="G51" s="7" t="s">
        <v>108</v>
      </c>
      <c r="H51" s="7" t="s">
        <v>101</v>
      </c>
      <c r="I51" s="19">
        <v>10</v>
      </c>
      <c r="J51" s="7" t="s">
        <v>24</v>
      </c>
    </row>
    <row r="52" spans="3:10" x14ac:dyDescent="0.25">
      <c r="C52" s="7">
        <v>49</v>
      </c>
      <c r="D52" s="18">
        <v>45844</v>
      </c>
      <c r="E52" s="7" t="s">
        <v>17</v>
      </c>
      <c r="F52" s="7" t="s">
        <v>21</v>
      </c>
      <c r="G52" s="7" t="s">
        <v>45</v>
      </c>
      <c r="H52" s="7" t="s">
        <v>109</v>
      </c>
      <c r="I52" s="19">
        <v>9</v>
      </c>
      <c r="J52" s="7" t="s">
        <v>24</v>
      </c>
    </row>
    <row r="53" spans="3:10" x14ac:dyDescent="0.25">
      <c r="C53" s="7">
        <v>50</v>
      </c>
      <c r="D53" s="18">
        <v>45845</v>
      </c>
      <c r="E53" s="7" t="s">
        <v>110</v>
      </c>
      <c r="F53" s="7" t="s">
        <v>18</v>
      </c>
      <c r="G53" s="7" t="s">
        <v>111</v>
      </c>
      <c r="H53" s="7" t="s">
        <v>112</v>
      </c>
      <c r="I53" s="19">
        <v>70</v>
      </c>
      <c r="J53" s="7" t="s">
        <v>25</v>
      </c>
    </row>
    <row r="54" spans="3:10" x14ac:dyDescent="0.25">
      <c r="C54" s="7">
        <v>51</v>
      </c>
      <c r="D54" s="18">
        <v>45845</v>
      </c>
      <c r="E54" s="7" t="s">
        <v>26</v>
      </c>
      <c r="F54" s="7" t="s">
        <v>20</v>
      </c>
      <c r="G54" s="7" t="s">
        <v>113</v>
      </c>
      <c r="H54" s="7" t="s">
        <v>114</v>
      </c>
      <c r="I54" s="19">
        <v>45</v>
      </c>
      <c r="J54" s="7" t="s">
        <v>24</v>
      </c>
    </row>
    <row r="55" spans="3:10" x14ac:dyDescent="0.25">
      <c r="C55" s="7">
        <v>52</v>
      </c>
      <c r="D55" s="18">
        <v>45845</v>
      </c>
      <c r="E55" s="7" t="s">
        <v>17</v>
      </c>
      <c r="F55" s="7" t="s">
        <v>18</v>
      </c>
      <c r="G55" s="7" t="s">
        <v>115</v>
      </c>
      <c r="H55" s="7" t="s">
        <v>116</v>
      </c>
      <c r="I55" s="19">
        <v>30</v>
      </c>
      <c r="J55" s="7" t="s">
        <v>25</v>
      </c>
    </row>
    <row r="56" spans="3:10" x14ac:dyDescent="0.25">
      <c r="C56" s="7">
        <v>53</v>
      </c>
      <c r="D56" s="18">
        <v>45845</v>
      </c>
      <c r="E56" s="7" t="s">
        <v>17</v>
      </c>
      <c r="F56" s="7" t="s">
        <v>20</v>
      </c>
      <c r="G56" s="7" t="s">
        <v>117</v>
      </c>
      <c r="H56" s="7" t="s">
        <v>118</v>
      </c>
      <c r="I56" s="19">
        <v>30</v>
      </c>
      <c r="J56" s="7" t="s">
        <v>25</v>
      </c>
    </row>
    <row r="57" spans="3:10" x14ac:dyDescent="0.25">
      <c r="C57" s="7">
        <v>54</v>
      </c>
      <c r="D57" s="18">
        <v>45845</v>
      </c>
      <c r="E57" s="7" t="s">
        <v>19</v>
      </c>
      <c r="F57" s="7" t="s">
        <v>72</v>
      </c>
      <c r="G57" s="7" t="s">
        <v>119</v>
      </c>
      <c r="H57" s="7" t="s">
        <v>120</v>
      </c>
      <c r="I57" s="19">
        <v>25</v>
      </c>
      <c r="J57" s="7" t="s">
        <v>24</v>
      </c>
    </row>
    <row r="58" spans="3:10" x14ac:dyDescent="0.25">
      <c r="C58" s="7">
        <v>55</v>
      </c>
      <c r="D58" s="18">
        <v>45845</v>
      </c>
      <c r="E58" s="7" t="s">
        <v>17</v>
      </c>
      <c r="F58" s="7" t="s">
        <v>18</v>
      </c>
      <c r="G58" s="7" t="s">
        <v>121</v>
      </c>
      <c r="H58" s="7" t="s">
        <v>122</v>
      </c>
      <c r="I58" s="19">
        <v>20</v>
      </c>
      <c r="J58" s="7" t="s">
        <v>24</v>
      </c>
    </row>
    <row r="59" spans="3:10" x14ac:dyDescent="0.25">
      <c r="C59" s="7">
        <v>56</v>
      </c>
      <c r="D59" s="18">
        <v>45845</v>
      </c>
      <c r="E59" s="7" t="s">
        <v>17</v>
      </c>
      <c r="F59" s="7" t="s">
        <v>21</v>
      </c>
      <c r="G59" s="7" t="s">
        <v>123</v>
      </c>
      <c r="H59" s="7" t="s">
        <v>124</v>
      </c>
      <c r="I59" s="19">
        <v>8</v>
      </c>
      <c r="J59" s="7" t="s">
        <v>25</v>
      </c>
    </row>
    <row r="60" spans="3:10" x14ac:dyDescent="0.25">
      <c r="C60" s="7">
        <v>57</v>
      </c>
      <c r="D60" s="18">
        <v>45845</v>
      </c>
      <c r="E60" s="7" t="s">
        <v>17</v>
      </c>
      <c r="F60" s="7" t="s">
        <v>21</v>
      </c>
      <c r="G60" s="7" t="s">
        <v>125</v>
      </c>
      <c r="H60" s="7" t="s">
        <v>101</v>
      </c>
      <c r="I60" s="19">
        <v>10</v>
      </c>
      <c r="J60" s="7" t="s">
        <v>24</v>
      </c>
    </row>
    <row r="61" spans="3:10" x14ac:dyDescent="0.25">
      <c r="C61" s="7">
        <v>58</v>
      </c>
      <c r="D61" s="18">
        <v>45845</v>
      </c>
      <c r="E61" s="7" t="s">
        <v>17</v>
      </c>
      <c r="F61" s="7" t="s">
        <v>20</v>
      </c>
      <c r="G61" s="7" t="s">
        <v>126</v>
      </c>
      <c r="H61" s="7"/>
      <c r="I61" s="19">
        <v>25</v>
      </c>
      <c r="J61" s="7" t="s">
        <v>24</v>
      </c>
    </row>
    <row r="62" spans="3:10" x14ac:dyDescent="0.25">
      <c r="C62" s="7">
        <v>59</v>
      </c>
      <c r="D62" s="18">
        <v>45845</v>
      </c>
      <c r="E62" s="7" t="s">
        <v>26</v>
      </c>
      <c r="F62" s="7" t="s">
        <v>18</v>
      </c>
      <c r="G62" s="7" t="s">
        <v>127</v>
      </c>
      <c r="H62" s="7"/>
      <c r="I62" s="19">
        <v>45</v>
      </c>
      <c r="J62" s="7" t="s">
        <v>24</v>
      </c>
    </row>
    <row r="63" spans="3:10" x14ac:dyDescent="0.25">
      <c r="C63" s="7">
        <v>60</v>
      </c>
      <c r="D63" s="18">
        <v>45845</v>
      </c>
      <c r="E63" s="7" t="s">
        <v>17</v>
      </c>
      <c r="F63" s="7" t="s">
        <v>20</v>
      </c>
      <c r="G63" s="7" t="s">
        <v>59</v>
      </c>
      <c r="H63" s="7" t="s">
        <v>47</v>
      </c>
      <c r="I63" s="19">
        <v>40</v>
      </c>
      <c r="J63" s="7" t="s">
        <v>25</v>
      </c>
    </row>
    <row r="64" spans="3:10" x14ac:dyDescent="0.25">
      <c r="C64" s="7">
        <v>61</v>
      </c>
      <c r="D64" s="18">
        <v>45846</v>
      </c>
      <c r="E64" s="7" t="s">
        <v>17</v>
      </c>
      <c r="F64" s="7" t="s">
        <v>20</v>
      </c>
      <c r="G64" s="7"/>
      <c r="H64" s="7" t="s">
        <v>129</v>
      </c>
      <c r="I64" s="19">
        <v>20</v>
      </c>
      <c r="J64" s="7" t="s">
        <v>25</v>
      </c>
    </row>
    <row r="65" spans="3:10" x14ac:dyDescent="0.25">
      <c r="C65" s="7">
        <v>62</v>
      </c>
      <c r="D65" s="18">
        <v>45846</v>
      </c>
      <c r="E65" s="7" t="s">
        <v>110</v>
      </c>
      <c r="F65" s="7" t="s">
        <v>20</v>
      </c>
      <c r="G65" s="7" t="s">
        <v>130</v>
      </c>
      <c r="H65" s="7" t="s">
        <v>131</v>
      </c>
      <c r="I65" s="19">
        <v>110</v>
      </c>
      <c r="J65" s="7" t="s">
        <v>24</v>
      </c>
    </row>
    <row r="66" spans="3:10" x14ac:dyDescent="0.25">
      <c r="C66" s="7">
        <v>63</v>
      </c>
      <c r="D66" s="18">
        <v>45846</v>
      </c>
      <c r="E66" s="7" t="s">
        <v>17</v>
      </c>
      <c r="F66" s="7" t="s">
        <v>18</v>
      </c>
      <c r="G66" s="7"/>
      <c r="H66" s="7" t="s">
        <v>132</v>
      </c>
      <c r="I66" s="19">
        <v>30</v>
      </c>
      <c r="J66" s="7" t="s">
        <v>24</v>
      </c>
    </row>
    <row r="67" spans="3:10" x14ac:dyDescent="0.25">
      <c r="C67" s="7">
        <v>64</v>
      </c>
      <c r="D67" s="18">
        <v>45847</v>
      </c>
      <c r="E67" s="7" t="s">
        <v>17</v>
      </c>
      <c r="F67" s="7" t="s">
        <v>20</v>
      </c>
      <c r="G67" s="7" t="s">
        <v>133</v>
      </c>
      <c r="H67" s="7" t="s">
        <v>134</v>
      </c>
      <c r="I67" s="19">
        <v>20</v>
      </c>
      <c r="J67" s="7" t="s">
        <v>25</v>
      </c>
    </row>
    <row r="68" spans="3:10" x14ac:dyDescent="0.25">
      <c r="C68" s="7">
        <v>65</v>
      </c>
      <c r="D68" s="18">
        <v>45847</v>
      </c>
      <c r="E68" s="7" t="s">
        <v>17</v>
      </c>
      <c r="F68" s="7" t="s">
        <v>18</v>
      </c>
      <c r="G68" s="7" t="s">
        <v>135</v>
      </c>
      <c r="H68" s="7" t="s">
        <v>136</v>
      </c>
      <c r="I68" s="19">
        <v>25</v>
      </c>
      <c r="J68" s="7" t="s">
        <v>24</v>
      </c>
    </row>
    <row r="69" spans="3:10" x14ac:dyDescent="0.25">
      <c r="C69" s="7">
        <v>66</v>
      </c>
      <c r="D69" s="18">
        <v>45847</v>
      </c>
      <c r="E69" s="7" t="s">
        <v>17</v>
      </c>
      <c r="F69" s="7" t="s">
        <v>39</v>
      </c>
      <c r="G69" s="7" t="s">
        <v>137</v>
      </c>
      <c r="H69" s="7"/>
      <c r="I69" s="19">
        <v>12</v>
      </c>
      <c r="J69" s="7" t="s">
        <v>138</v>
      </c>
    </row>
    <row r="70" spans="3:10" x14ac:dyDescent="0.25">
      <c r="C70" s="7">
        <v>67</v>
      </c>
      <c r="D70" s="18">
        <v>45847</v>
      </c>
      <c r="E70" s="7" t="s">
        <v>17</v>
      </c>
      <c r="F70" s="7" t="s">
        <v>18</v>
      </c>
      <c r="G70" s="7" t="s">
        <v>139</v>
      </c>
      <c r="H70" s="7" t="s">
        <v>140</v>
      </c>
      <c r="I70" s="19">
        <v>25</v>
      </c>
      <c r="J70" s="7" t="s">
        <v>25</v>
      </c>
    </row>
    <row r="71" spans="3:10" x14ac:dyDescent="0.25">
      <c r="C71" s="7">
        <v>68</v>
      </c>
      <c r="D71" s="18">
        <v>45848</v>
      </c>
      <c r="E71" s="7" t="s">
        <v>17</v>
      </c>
      <c r="F71" s="7" t="s">
        <v>21</v>
      </c>
      <c r="G71" s="7"/>
      <c r="H71" s="7" t="s">
        <v>141</v>
      </c>
      <c r="I71" s="19">
        <v>10</v>
      </c>
      <c r="J71" s="7" t="s">
        <v>25</v>
      </c>
    </row>
    <row r="72" spans="3:10" x14ac:dyDescent="0.25">
      <c r="C72" s="7">
        <v>69</v>
      </c>
      <c r="D72" s="18">
        <v>45848</v>
      </c>
      <c r="E72" s="7" t="s">
        <v>26</v>
      </c>
      <c r="F72" s="7" t="s">
        <v>18</v>
      </c>
      <c r="G72" s="7"/>
      <c r="H72" s="7" t="s">
        <v>142</v>
      </c>
      <c r="I72" s="19">
        <v>50</v>
      </c>
      <c r="J72" s="7" t="s">
        <v>24</v>
      </c>
    </row>
    <row r="73" spans="3:10" x14ac:dyDescent="0.25">
      <c r="C73" s="7">
        <v>70</v>
      </c>
      <c r="D73" s="18">
        <v>45848</v>
      </c>
      <c r="E73" s="7" t="s">
        <v>17</v>
      </c>
      <c r="F73" s="7" t="s">
        <v>20</v>
      </c>
      <c r="G73" s="7" t="s">
        <v>42</v>
      </c>
      <c r="H73" s="7" t="s">
        <v>143</v>
      </c>
      <c r="I73" s="19">
        <v>15</v>
      </c>
      <c r="J73" s="7" t="s">
        <v>25</v>
      </c>
    </row>
    <row r="74" spans="3:10" x14ac:dyDescent="0.25">
      <c r="C74" s="7">
        <v>71</v>
      </c>
      <c r="D74" s="18">
        <v>45849</v>
      </c>
      <c r="E74" s="7" t="s">
        <v>26</v>
      </c>
      <c r="F74" s="7" t="s">
        <v>18</v>
      </c>
      <c r="G74" s="7" t="s">
        <v>144</v>
      </c>
      <c r="H74" s="7" t="s">
        <v>145</v>
      </c>
      <c r="I74" s="19">
        <v>40</v>
      </c>
      <c r="J74" s="7" t="s">
        <v>25</v>
      </c>
    </row>
    <row r="75" spans="3:10" x14ac:dyDescent="0.25">
      <c r="C75" s="7">
        <v>72</v>
      </c>
      <c r="D75" s="18">
        <v>45849</v>
      </c>
      <c r="E75" s="7" t="s">
        <v>17</v>
      </c>
      <c r="F75" s="7" t="s">
        <v>21</v>
      </c>
      <c r="G75" s="7"/>
      <c r="H75" s="7" t="s">
        <v>146</v>
      </c>
      <c r="I75" s="19">
        <v>8</v>
      </c>
      <c r="J75" s="7" t="s">
        <v>25</v>
      </c>
    </row>
    <row r="76" spans="3:10" x14ac:dyDescent="0.25">
      <c r="C76" s="7">
        <v>73</v>
      </c>
      <c r="D76" s="18">
        <v>45849</v>
      </c>
      <c r="E76" s="7" t="s">
        <v>17</v>
      </c>
      <c r="F76" s="7" t="s">
        <v>21</v>
      </c>
      <c r="G76" s="7"/>
      <c r="H76" s="7" t="s">
        <v>147</v>
      </c>
      <c r="I76" s="19">
        <v>8</v>
      </c>
      <c r="J76" s="7" t="s">
        <v>25</v>
      </c>
    </row>
    <row r="77" spans="3:10" x14ac:dyDescent="0.25">
      <c r="C77" s="7">
        <v>74</v>
      </c>
      <c r="D77" s="18">
        <v>45849</v>
      </c>
      <c r="E77" s="7" t="s">
        <v>17</v>
      </c>
      <c r="F77" s="7" t="s">
        <v>18</v>
      </c>
      <c r="G77" s="7" t="s">
        <v>148</v>
      </c>
      <c r="H77" s="7" t="s">
        <v>149</v>
      </c>
      <c r="I77" s="19">
        <v>25</v>
      </c>
      <c r="J77" s="7" t="s">
        <v>24</v>
      </c>
    </row>
    <row r="78" spans="3:10" x14ac:dyDescent="0.25">
      <c r="C78" s="7">
        <v>75</v>
      </c>
      <c r="D78" s="18">
        <v>45849</v>
      </c>
      <c r="E78" s="7" t="s">
        <v>110</v>
      </c>
      <c r="F78" s="7" t="s">
        <v>20</v>
      </c>
      <c r="G78" s="7" t="s">
        <v>150</v>
      </c>
      <c r="H78" s="7" t="s">
        <v>151</v>
      </c>
      <c r="I78" s="19">
        <v>75</v>
      </c>
      <c r="J78" s="7" t="s">
        <v>24</v>
      </c>
    </row>
    <row r="79" spans="3:10" x14ac:dyDescent="0.25">
      <c r="C79" s="7">
        <v>76</v>
      </c>
      <c r="D79" s="18">
        <v>45849</v>
      </c>
      <c r="E79" s="7" t="s">
        <v>26</v>
      </c>
      <c r="F79" s="7" t="s">
        <v>20</v>
      </c>
      <c r="G79" s="7"/>
      <c r="H79" s="7" t="s">
        <v>152</v>
      </c>
      <c r="I79" s="19">
        <v>45</v>
      </c>
      <c r="J79" s="7" t="s">
        <v>25</v>
      </c>
    </row>
    <row r="80" spans="3:10" x14ac:dyDescent="0.25">
      <c r="C80" s="7">
        <v>77</v>
      </c>
      <c r="D80" s="18">
        <v>45849</v>
      </c>
      <c r="E80" s="7" t="s">
        <v>17</v>
      </c>
      <c r="F80" s="7" t="s">
        <v>18</v>
      </c>
      <c r="G80" s="7"/>
      <c r="H80" s="7" t="s">
        <v>153</v>
      </c>
      <c r="I80" s="19">
        <v>30</v>
      </c>
      <c r="J80" s="7" t="s">
        <v>24</v>
      </c>
    </row>
    <row r="81" spans="3:10" x14ac:dyDescent="0.25">
      <c r="C81" s="7">
        <v>78</v>
      </c>
      <c r="D81" s="18">
        <v>45849</v>
      </c>
      <c r="E81" s="7" t="s">
        <v>17</v>
      </c>
      <c r="F81" s="7" t="s">
        <v>18</v>
      </c>
      <c r="G81" s="7" t="s">
        <v>154</v>
      </c>
      <c r="H81" s="7" t="s">
        <v>155</v>
      </c>
      <c r="I81" s="19">
        <v>30</v>
      </c>
      <c r="J81" s="7" t="s">
        <v>25</v>
      </c>
    </row>
    <row r="82" spans="3:10" x14ac:dyDescent="0.25">
      <c r="C82" s="7">
        <v>79</v>
      </c>
      <c r="D82" s="18">
        <v>45849</v>
      </c>
      <c r="E82" s="7" t="s">
        <v>19</v>
      </c>
      <c r="F82" s="7" t="s">
        <v>20</v>
      </c>
      <c r="G82" s="7"/>
      <c r="H82" s="7" t="s">
        <v>156</v>
      </c>
      <c r="I82" s="19">
        <v>13</v>
      </c>
      <c r="J82" s="7" t="s">
        <v>25</v>
      </c>
    </row>
    <row r="83" spans="3:10" x14ac:dyDescent="0.25">
      <c r="C83" s="7">
        <v>80</v>
      </c>
      <c r="D83" s="18">
        <v>45849</v>
      </c>
      <c r="E83" s="7" t="s">
        <v>19</v>
      </c>
      <c r="F83" s="7" t="s">
        <v>20</v>
      </c>
      <c r="G83" s="7" t="s">
        <v>59</v>
      </c>
      <c r="H83" s="7" t="s">
        <v>40</v>
      </c>
      <c r="I83" s="19">
        <v>13</v>
      </c>
      <c r="J83" s="7" t="s">
        <v>25</v>
      </c>
    </row>
    <row r="84" spans="3:10" x14ac:dyDescent="0.25">
      <c r="C84" s="7">
        <v>81</v>
      </c>
      <c r="D84" s="18">
        <v>45850</v>
      </c>
      <c r="E84" s="7" t="s">
        <v>110</v>
      </c>
      <c r="F84" s="7" t="s">
        <v>18</v>
      </c>
      <c r="G84" s="7" t="s">
        <v>157</v>
      </c>
      <c r="H84" s="7" t="s">
        <v>158</v>
      </c>
      <c r="I84" s="19">
        <v>90</v>
      </c>
      <c r="J84" s="7" t="s">
        <v>24</v>
      </c>
    </row>
    <row r="85" spans="3:10" x14ac:dyDescent="0.25">
      <c r="C85" s="7">
        <v>82</v>
      </c>
      <c r="D85" s="18">
        <v>45850</v>
      </c>
      <c r="E85" s="7" t="s">
        <v>26</v>
      </c>
      <c r="F85" s="7" t="s">
        <v>18</v>
      </c>
      <c r="G85" s="7"/>
      <c r="H85" s="7" t="s">
        <v>159</v>
      </c>
      <c r="I85" s="19">
        <v>45</v>
      </c>
      <c r="J85" s="7" t="s">
        <v>25</v>
      </c>
    </row>
    <row r="86" spans="3:10" x14ac:dyDescent="0.25">
      <c r="C86" s="7">
        <v>83</v>
      </c>
      <c r="D86" s="18">
        <v>45850</v>
      </c>
      <c r="E86" s="7" t="s">
        <v>110</v>
      </c>
      <c r="F86" s="7" t="s">
        <v>18</v>
      </c>
      <c r="G86" s="7" t="s">
        <v>70</v>
      </c>
      <c r="H86" s="7" t="s">
        <v>71</v>
      </c>
      <c r="I86" s="19">
        <v>80</v>
      </c>
      <c r="J86" s="7" t="s">
        <v>25</v>
      </c>
    </row>
    <row r="87" spans="3:10" x14ac:dyDescent="0.25">
      <c r="C87" s="7">
        <v>84</v>
      </c>
      <c r="D87" s="18">
        <v>45850</v>
      </c>
      <c r="E87" s="7" t="s">
        <v>26</v>
      </c>
      <c r="F87" s="7" t="s">
        <v>20</v>
      </c>
      <c r="G87" s="7"/>
      <c r="H87" s="7" t="s">
        <v>160</v>
      </c>
      <c r="I87" s="19">
        <v>50</v>
      </c>
      <c r="J87" s="7" t="s">
        <v>25</v>
      </c>
    </row>
    <row r="88" spans="3:10" x14ac:dyDescent="0.25">
      <c r="C88" s="7">
        <v>85</v>
      </c>
      <c r="D88" s="18">
        <v>45850</v>
      </c>
      <c r="E88" s="7" t="s">
        <v>19</v>
      </c>
      <c r="F88" s="7" t="s">
        <v>18</v>
      </c>
      <c r="G88" s="7" t="s">
        <v>161</v>
      </c>
      <c r="H88" s="7" t="s">
        <v>162</v>
      </c>
      <c r="I88" s="19">
        <v>15</v>
      </c>
      <c r="J88" s="7" t="s">
        <v>25</v>
      </c>
    </row>
    <row r="89" spans="3:10" x14ac:dyDescent="0.25">
      <c r="C89" s="7">
        <v>86</v>
      </c>
      <c r="D89" s="18">
        <v>45850</v>
      </c>
      <c r="E89" s="7" t="s">
        <v>17</v>
      </c>
      <c r="F89" s="7" t="s">
        <v>39</v>
      </c>
      <c r="G89" s="7"/>
      <c r="H89" s="7"/>
      <c r="I89" s="19">
        <v>12</v>
      </c>
      <c r="J89" s="7" t="s">
        <v>25</v>
      </c>
    </row>
    <row r="90" spans="3:10" x14ac:dyDescent="0.25">
      <c r="C90" s="7">
        <v>87</v>
      </c>
      <c r="D90" s="18">
        <v>45850</v>
      </c>
      <c r="E90" s="24" t="s">
        <v>26</v>
      </c>
      <c r="F90" s="24" t="s">
        <v>18</v>
      </c>
      <c r="G90" s="24" t="s">
        <v>163</v>
      </c>
      <c r="H90" s="24" t="s">
        <v>164</v>
      </c>
      <c r="I90" s="25">
        <v>40</v>
      </c>
      <c r="J90" s="24" t="s">
        <v>308</v>
      </c>
    </row>
    <row r="91" spans="3:10" x14ac:dyDescent="0.25">
      <c r="C91" s="7">
        <v>88</v>
      </c>
      <c r="D91" s="18">
        <v>45850</v>
      </c>
      <c r="E91" s="7" t="s">
        <v>17</v>
      </c>
      <c r="F91" s="7" t="s">
        <v>21</v>
      </c>
      <c r="G91" s="7"/>
      <c r="H91" s="7" t="s">
        <v>165</v>
      </c>
      <c r="I91" s="19">
        <v>10</v>
      </c>
      <c r="J91" s="7" t="s">
        <v>25</v>
      </c>
    </row>
    <row r="92" spans="3:10" x14ac:dyDescent="0.25">
      <c r="C92" s="7">
        <v>89</v>
      </c>
      <c r="D92" s="18">
        <v>45850</v>
      </c>
      <c r="E92" s="7" t="s">
        <v>19</v>
      </c>
      <c r="F92" s="7" t="s">
        <v>18</v>
      </c>
      <c r="G92" s="7"/>
      <c r="H92" s="7" t="s">
        <v>166</v>
      </c>
      <c r="I92" s="19">
        <v>15</v>
      </c>
      <c r="J92" s="7" t="s">
        <v>25</v>
      </c>
    </row>
    <row r="93" spans="3:10" x14ac:dyDescent="0.25">
      <c r="C93" s="7">
        <v>90</v>
      </c>
      <c r="D93" s="18">
        <v>45850</v>
      </c>
      <c r="E93" s="26" t="s">
        <v>26</v>
      </c>
      <c r="F93" s="26" t="s">
        <v>18</v>
      </c>
      <c r="G93" s="26" t="s">
        <v>167</v>
      </c>
      <c r="H93" s="26" t="s">
        <v>168</v>
      </c>
      <c r="I93" s="27">
        <v>45</v>
      </c>
      <c r="J93" s="26" t="s">
        <v>309</v>
      </c>
    </row>
    <row r="94" spans="3:10" x14ac:dyDescent="0.25">
      <c r="C94" s="7">
        <v>91</v>
      </c>
      <c r="D94" s="18">
        <v>45850</v>
      </c>
      <c r="E94" s="7" t="s">
        <v>17</v>
      </c>
      <c r="F94" s="7" t="s">
        <v>18</v>
      </c>
      <c r="G94" s="7" t="s">
        <v>169</v>
      </c>
      <c r="H94" s="7" t="s">
        <v>170</v>
      </c>
      <c r="I94" s="19">
        <v>20</v>
      </c>
      <c r="J94" s="7" t="s">
        <v>25</v>
      </c>
    </row>
    <row r="95" spans="3:10" x14ac:dyDescent="0.25">
      <c r="C95" s="7">
        <v>92</v>
      </c>
      <c r="D95" s="18">
        <v>45851</v>
      </c>
      <c r="E95" s="7" t="s">
        <v>26</v>
      </c>
      <c r="F95" s="7" t="s">
        <v>18</v>
      </c>
      <c r="G95" s="7" t="s">
        <v>171</v>
      </c>
      <c r="H95" s="7" t="s">
        <v>166</v>
      </c>
      <c r="I95" s="19">
        <v>45</v>
      </c>
      <c r="J95" s="7" t="s">
        <v>24</v>
      </c>
    </row>
    <row r="96" spans="3:10" x14ac:dyDescent="0.25">
      <c r="C96" s="7">
        <v>93</v>
      </c>
      <c r="D96" s="18">
        <v>45851</v>
      </c>
      <c r="E96" s="7" t="s">
        <v>17</v>
      </c>
      <c r="F96" s="7" t="s">
        <v>18</v>
      </c>
      <c r="G96" s="7" t="s">
        <v>172</v>
      </c>
      <c r="H96" s="7" t="s">
        <v>173</v>
      </c>
      <c r="I96" s="19">
        <v>25</v>
      </c>
      <c r="J96" s="7" t="s">
        <v>24</v>
      </c>
    </row>
    <row r="97" spans="3:10" x14ac:dyDescent="0.25">
      <c r="C97" s="7">
        <v>94</v>
      </c>
      <c r="D97" s="18">
        <v>45851</v>
      </c>
      <c r="E97" s="7" t="s">
        <v>17</v>
      </c>
      <c r="F97" s="7" t="s">
        <v>20</v>
      </c>
      <c r="G97" s="7" t="s">
        <v>174</v>
      </c>
      <c r="H97" s="7" t="s">
        <v>175</v>
      </c>
      <c r="I97" s="19">
        <v>20</v>
      </c>
      <c r="J97" s="7" t="s">
        <v>25</v>
      </c>
    </row>
    <row r="98" spans="3:10" x14ac:dyDescent="0.25">
      <c r="C98" s="7">
        <v>95</v>
      </c>
      <c r="D98" s="18">
        <v>45851</v>
      </c>
      <c r="E98" s="7" t="s">
        <v>19</v>
      </c>
      <c r="F98" s="7" t="s">
        <v>20</v>
      </c>
      <c r="G98" s="7" t="s">
        <v>176</v>
      </c>
      <c r="H98" s="7"/>
      <c r="I98" s="19">
        <v>15</v>
      </c>
      <c r="J98" s="7" t="s">
        <v>25</v>
      </c>
    </row>
    <row r="99" spans="3:10" x14ac:dyDescent="0.25">
      <c r="C99" s="7">
        <v>96</v>
      </c>
      <c r="D99" s="18">
        <v>45851</v>
      </c>
      <c r="E99" s="7" t="s">
        <v>26</v>
      </c>
      <c r="F99" s="7" t="s">
        <v>18</v>
      </c>
      <c r="G99" s="7" t="s">
        <v>177</v>
      </c>
      <c r="H99" s="7" t="s">
        <v>73</v>
      </c>
      <c r="I99" s="19">
        <v>40</v>
      </c>
      <c r="J99" s="7" t="s">
        <v>25</v>
      </c>
    </row>
    <row r="100" spans="3:10" x14ac:dyDescent="0.25">
      <c r="C100" s="7">
        <v>97</v>
      </c>
      <c r="D100" s="18">
        <v>45851</v>
      </c>
      <c r="E100" s="7" t="s">
        <v>17</v>
      </c>
      <c r="F100" s="7" t="s">
        <v>20</v>
      </c>
      <c r="G100" s="7" t="s">
        <v>42</v>
      </c>
      <c r="H100" s="7" t="s">
        <v>47</v>
      </c>
      <c r="I100" s="19">
        <v>15</v>
      </c>
      <c r="J100" s="7" t="s">
        <v>25</v>
      </c>
    </row>
    <row r="101" spans="3:10" x14ac:dyDescent="0.25">
      <c r="C101" s="7">
        <v>98</v>
      </c>
      <c r="D101" s="18">
        <v>45851</v>
      </c>
      <c r="E101" s="7" t="s">
        <v>17</v>
      </c>
      <c r="F101" s="7" t="s">
        <v>18</v>
      </c>
      <c r="G101" s="7" t="s">
        <v>93</v>
      </c>
      <c r="H101" s="7" t="s">
        <v>89</v>
      </c>
      <c r="I101" s="19">
        <v>20</v>
      </c>
      <c r="J101" s="7" t="s">
        <v>25</v>
      </c>
    </row>
    <row r="102" spans="3:10" x14ac:dyDescent="0.25">
      <c r="C102" s="7">
        <v>99</v>
      </c>
      <c r="D102" s="18">
        <v>45851</v>
      </c>
      <c r="E102" s="7" t="s">
        <v>17</v>
      </c>
      <c r="F102" s="7" t="s">
        <v>20</v>
      </c>
      <c r="G102" s="7" t="s">
        <v>126</v>
      </c>
      <c r="H102" s="7" t="s">
        <v>107</v>
      </c>
      <c r="I102" s="19">
        <v>30</v>
      </c>
      <c r="J102" s="7" t="s">
        <v>25</v>
      </c>
    </row>
    <row r="103" spans="3:10" x14ac:dyDescent="0.25">
      <c r="C103" s="7">
        <v>100</v>
      </c>
      <c r="D103" s="18">
        <v>45851</v>
      </c>
      <c r="E103" s="7" t="s">
        <v>17</v>
      </c>
      <c r="F103" s="7" t="s">
        <v>21</v>
      </c>
      <c r="G103" s="7"/>
      <c r="H103" s="7" t="s">
        <v>101</v>
      </c>
      <c r="I103" s="19">
        <v>10</v>
      </c>
      <c r="J103" s="7" t="s">
        <v>24</v>
      </c>
    </row>
    <row r="104" spans="3:10" x14ac:dyDescent="0.25">
      <c r="C104" s="7">
        <v>101</v>
      </c>
      <c r="D104" s="18">
        <v>45851</v>
      </c>
      <c r="E104" s="7" t="s">
        <v>17</v>
      </c>
      <c r="F104" s="7" t="s">
        <v>18</v>
      </c>
      <c r="G104" s="7" t="s">
        <v>178</v>
      </c>
      <c r="H104" s="7"/>
      <c r="I104" s="19">
        <v>25</v>
      </c>
      <c r="J104" s="7" t="s">
        <v>24</v>
      </c>
    </row>
    <row r="105" spans="3:10" x14ac:dyDescent="0.25">
      <c r="C105" s="7">
        <v>102</v>
      </c>
      <c r="D105" s="18">
        <v>45852</v>
      </c>
      <c r="E105" s="7" t="s">
        <v>17</v>
      </c>
      <c r="F105" s="7" t="s">
        <v>39</v>
      </c>
      <c r="G105" s="7"/>
      <c r="H105" s="7" t="s">
        <v>32</v>
      </c>
      <c r="I105" s="19">
        <v>12</v>
      </c>
      <c r="J105" s="7" t="s">
        <v>25</v>
      </c>
    </row>
    <row r="106" spans="3:10" x14ac:dyDescent="0.25">
      <c r="C106" s="7">
        <v>103</v>
      </c>
      <c r="D106" s="18">
        <v>45852</v>
      </c>
      <c r="E106" s="7" t="s">
        <v>17</v>
      </c>
      <c r="F106" s="7" t="s">
        <v>20</v>
      </c>
      <c r="G106" s="7" t="s">
        <v>179</v>
      </c>
      <c r="H106" s="7" t="s">
        <v>180</v>
      </c>
      <c r="I106" s="19">
        <v>30</v>
      </c>
      <c r="J106" s="7" t="s">
        <v>24</v>
      </c>
    </row>
    <row r="107" spans="3:10" x14ac:dyDescent="0.25">
      <c r="C107" s="7">
        <v>104</v>
      </c>
      <c r="D107" s="18">
        <v>45852</v>
      </c>
      <c r="E107" s="7" t="s">
        <v>26</v>
      </c>
      <c r="F107" s="7" t="s">
        <v>182</v>
      </c>
      <c r="G107" s="7" t="s">
        <v>181</v>
      </c>
      <c r="H107" s="7" t="s">
        <v>69</v>
      </c>
      <c r="I107" s="19">
        <v>45</v>
      </c>
      <c r="J107" s="7" t="s">
        <v>25</v>
      </c>
    </row>
    <row r="108" spans="3:10" x14ac:dyDescent="0.25">
      <c r="C108" s="7">
        <v>105</v>
      </c>
      <c r="D108" s="18">
        <v>45853</v>
      </c>
      <c r="E108" s="7" t="s">
        <v>26</v>
      </c>
      <c r="F108" s="7" t="s">
        <v>18</v>
      </c>
      <c r="G108" s="7" t="s">
        <v>28</v>
      </c>
      <c r="H108" s="7" t="s">
        <v>29</v>
      </c>
      <c r="I108" s="19">
        <v>50</v>
      </c>
      <c r="J108" s="7" t="s">
        <v>24</v>
      </c>
    </row>
    <row r="109" spans="3:10" x14ac:dyDescent="0.25">
      <c r="C109" s="7">
        <v>106</v>
      </c>
      <c r="D109" s="18">
        <v>45853</v>
      </c>
      <c r="E109" s="7" t="s">
        <v>17</v>
      </c>
      <c r="F109" s="7" t="s">
        <v>39</v>
      </c>
      <c r="G109" s="7" t="s">
        <v>183</v>
      </c>
      <c r="H109" s="7" t="s">
        <v>32</v>
      </c>
      <c r="I109" s="19">
        <v>12</v>
      </c>
      <c r="J109" s="7" t="s">
        <v>184</v>
      </c>
    </row>
    <row r="110" spans="3:10" x14ac:dyDescent="0.25">
      <c r="C110" s="7">
        <v>107</v>
      </c>
      <c r="D110" s="18">
        <v>45853</v>
      </c>
      <c r="E110" s="7" t="s">
        <v>26</v>
      </c>
      <c r="F110" s="7" t="s">
        <v>18</v>
      </c>
      <c r="G110" s="7"/>
      <c r="H110" s="7" t="s">
        <v>185</v>
      </c>
      <c r="I110" s="19">
        <v>45</v>
      </c>
      <c r="J110" s="7" t="s">
        <v>24</v>
      </c>
    </row>
    <row r="111" spans="3:10" x14ac:dyDescent="0.25">
      <c r="C111" s="7">
        <v>108</v>
      </c>
      <c r="D111" s="18">
        <v>45854</v>
      </c>
      <c r="E111" s="7" t="s">
        <v>17</v>
      </c>
      <c r="F111" s="7" t="s">
        <v>18</v>
      </c>
      <c r="G111" s="7" t="s">
        <v>186</v>
      </c>
      <c r="H111" s="7" t="s">
        <v>73</v>
      </c>
      <c r="I111" s="19">
        <v>25</v>
      </c>
      <c r="J111" s="7" t="s">
        <v>184</v>
      </c>
    </row>
    <row r="112" spans="3:10" x14ac:dyDescent="0.25">
      <c r="C112" s="7">
        <v>109</v>
      </c>
      <c r="D112" s="18">
        <v>45854</v>
      </c>
      <c r="E112" s="7" t="s">
        <v>17</v>
      </c>
      <c r="F112" s="7" t="s">
        <v>20</v>
      </c>
      <c r="G112" s="7"/>
      <c r="H112" s="7" t="s">
        <v>187</v>
      </c>
      <c r="I112" s="19">
        <v>20</v>
      </c>
      <c r="J112" s="7" t="s">
        <v>25</v>
      </c>
    </row>
    <row r="113" spans="3:10" x14ac:dyDescent="0.25">
      <c r="C113" s="7">
        <v>110</v>
      </c>
      <c r="D113" s="18">
        <v>45854</v>
      </c>
      <c r="E113" s="7" t="s">
        <v>17</v>
      </c>
      <c r="F113" s="7" t="s">
        <v>18</v>
      </c>
      <c r="G113" s="7"/>
      <c r="H113" s="7" t="s">
        <v>188</v>
      </c>
      <c r="I113" s="19">
        <v>20</v>
      </c>
      <c r="J113" s="7" t="s">
        <v>24</v>
      </c>
    </row>
    <row r="114" spans="3:10" x14ac:dyDescent="0.25">
      <c r="C114" s="7">
        <v>111</v>
      </c>
      <c r="D114" s="20">
        <v>45854</v>
      </c>
      <c r="E114" s="21" t="s">
        <v>17</v>
      </c>
      <c r="F114" s="21" t="s">
        <v>20</v>
      </c>
      <c r="G114" s="21" t="s">
        <v>189</v>
      </c>
      <c r="H114" s="21" t="s">
        <v>69</v>
      </c>
      <c r="I114" s="23">
        <v>20</v>
      </c>
      <c r="J114" s="21" t="s">
        <v>310</v>
      </c>
    </row>
    <row r="115" spans="3:10" x14ac:dyDescent="0.25">
      <c r="C115" s="7">
        <v>112</v>
      </c>
      <c r="D115" s="18">
        <v>45855</v>
      </c>
      <c r="E115" s="7" t="s">
        <v>17</v>
      </c>
      <c r="F115" s="7" t="s">
        <v>20</v>
      </c>
      <c r="G115" s="7"/>
      <c r="H115" s="7" t="s">
        <v>107</v>
      </c>
      <c r="I115" s="19">
        <v>30</v>
      </c>
      <c r="J115" s="7" t="s">
        <v>24</v>
      </c>
    </row>
    <row r="116" spans="3:10" x14ac:dyDescent="0.25">
      <c r="C116" s="7">
        <v>113</v>
      </c>
      <c r="D116" s="18">
        <v>45855</v>
      </c>
      <c r="E116" s="7" t="s">
        <v>17</v>
      </c>
      <c r="F116" s="7" t="s">
        <v>20</v>
      </c>
      <c r="G116" s="7" t="s">
        <v>190</v>
      </c>
      <c r="H116" s="7" t="s">
        <v>160</v>
      </c>
      <c r="I116" s="19">
        <v>30</v>
      </c>
      <c r="J116" s="7" t="s">
        <v>25</v>
      </c>
    </row>
    <row r="117" spans="3:10" x14ac:dyDescent="0.25">
      <c r="C117" s="7">
        <v>114</v>
      </c>
      <c r="D117" s="18">
        <v>45855</v>
      </c>
      <c r="E117" s="7" t="s">
        <v>17</v>
      </c>
      <c r="F117" s="7" t="s">
        <v>18</v>
      </c>
      <c r="G117" s="7" t="s">
        <v>68</v>
      </c>
      <c r="H117" s="7" t="s">
        <v>69</v>
      </c>
      <c r="I117" s="19">
        <v>25</v>
      </c>
      <c r="J117" s="7" t="s">
        <v>24</v>
      </c>
    </row>
    <row r="118" spans="3:10" x14ac:dyDescent="0.25">
      <c r="C118" s="7">
        <v>115</v>
      </c>
      <c r="D118" s="18">
        <v>45855</v>
      </c>
      <c r="E118" s="7" t="s">
        <v>17</v>
      </c>
      <c r="F118" s="7" t="s">
        <v>94</v>
      </c>
      <c r="G118" s="7"/>
      <c r="H118" s="7" t="s">
        <v>101</v>
      </c>
      <c r="I118" s="19">
        <v>10</v>
      </c>
      <c r="J118" s="7" t="s">
        <v>25</v>
      </c>
    </row>
    <row r="119" spans="3:10" x14ac:dyDescent="0.25">
      <c r="C119" s="7">
        <v>116</v>
      </c>
      <c r="D119" s="18">
        <v>45855</v>
      </c>
      <c r="E119" s="7" t="s">
        <v>17</v>
      </c>
      <c r="F119" s="7" t="s">
        <v>18</v>
      </c>
      <c r="G119" s="7" t="s">
        <v>111</v>
      </c>
      <c r="H119" s="7" t="s">
        <v>69</v>
      </c>
      <c r="I119" s="19">
        <v>50</v>
      </c>
      <c r="J119" s="7" t="s">
        <v>24</v>
      </c>
    </row>
    <row r="120" spans="3:10" x14ac:dyDescent="0.25">
      <c r="C120" s="7">
        <v>117</v>
      </c>
      <c r="D120" s="18">
        <v>45855</v>
      </c>
      <c r="E120" s="7" t="s">
        <v>17</v>
      </c>
      <c r="F120" s="7" t="s">
        <v>21</v>
      </c>
      <c r="G120" s="7"/>
      <c r="H120" s="7" t="s">
        <v>191</v>
      </c>
      <c r="I120" s="19">
        <v>8</v>
      </c>
      <c r="J120" s="7" t="s">
        <v>25</v>
      </c>
    </row>
    <row r="121" spans="3:10" x14ac:dyDescent="0.25">
      <c r="C121" s="7">
        <v>118</v>
      </c>
      <c r="D121" s="18">
        <v>45855</v>
      </c>
      <c r="E121" s="7" t="s">
        <v>17</v>
      </c>
      <c r="F121" s="7" t="s">
        <v>21</v>
      </c>
      <c r="G121" s="7"/>
      <c r="H121" s="7" t="s">
        <v>101</v>
      </c>
      <c r="I121" s="19">
        <v>10</v>
      </c>
      <c r="J121" s="7" t="s">
        <v>24</v>
      </c>
    </row>
    <row r="122" spans="3:10" x14ac:dyDescent="0.25">
      <c r="C122" s="7">
        <v>119</v>
      </c>
      <c r="D122" s="18">
        <v>45855</v>
      </c>
      <c r="E122" s="7" t="s">
        <v>19</v>
      </c>
      <c r="F122" s="7" t="s">
        <v>72</v>
      </c>
      <c r="G122" s="7"/>
      <c r="H122" s="7"/>
      <c r="I122" s="19">
        <v>10</v>
      </c>
      <c r="J122" s="7" t="s">
        <v>25</v>
      </c>
    </row>
    <row r="123" spans="3:10" x14ac:dyDescent="0.25">
      <c r="C123" s="7">
        <v>120</v>
      </c>
      <c r="D123" s="18">
        <v>45855</v>
      </c>
      <c r="E123" s="7" t="s">
        <v>26</v>
      </c>
      <c r="F123" s="7" t="s">
        <v>18</v>
      </c>
      <c r="G123" s="7" t="s">
        <v>192</v>
      </c>
      <c r="H123" s="7" t="s">
        <v>73</v>
      </c>
      <c r="I123" s="19">
        <v>50</v>
      </c>
      <c r="J123" s="7" t="s">
        <v>25</v>
      </c>
    </row>
    <row r="124" spans="3:10" x14ac:dyDescent="0.25">
      <c r="C124" s="7">
        <v>121</v>
      </c>
      <c r="D124" s="18">
        <v>45856</v>
      </c>
      <c r="E124" s="7" t="s">
        <v>17</v>
      </c>
      <c r="F124" s="7" t="s">
        <v>18</v>
      </c>
      <c r="G124" s="7" t="s">
        <v>193</v>
      </c>
      <c r="H124" s="7" t="s">
        <v>194</v>
      </c>
      <c r="I124" s="19">
        <v>20</v>
      </c>
      <c r="J124" s="7" t="s">
        <v>25</v>
      </c>
    </row>
    <row r="125" spans="3:10" x14ac:dyDescent="0.25">
      <c r="C125" s="7">
        <v>122</v>
      </c>
      <c r="D125" s="18">
        <v>45856</v>
      </c>
      <c r="E125" s="7" t="s">
        <v>17</v>
      </c>
      <c r="F125" s="7" t="s">
        <v>20</v>
      </c>
      <c r="G125" s="7" t="s">
        <v>195</v>
      </c>
      <c r="H125" s="7" t="s">
        <v>196</v>
      </c>
      <c r="I125" s="19">
        <v>30</v>
      </c>
      <c r="J125" s="7" t="s">
        <v>24</v>
      </c>
    </row>
    <row r="126" spans="3:10" x14ac:dyDescent="0.25">
      <c r="C126" s="7">
        <v>123</v>
      </c>
      <c r="D126" s="18">
        <v>45856</v>
      </c>
      <c r="E126" s="7" t="s">
        <v>17</v>
      </c>
      <c r="F126" s="7" t="s">
        <v>20</v>
      </c>
      <c r="G126" s="7" t="s">
        <v>59</v>
      </c>
      <c r="H126" s="7" t="s">
        <v>143</v>
      </c>
      <c r="I126" s="19">
        <v>30</v>
      </c>
      <c r="J126" s="7" t="s">
        <v>24</v>
      </c>
    </row>
    <row r="127" spans="3:10" x14ac:dyDescent="0.25">
      <c r="C127" s="7">
        <v>124</v>
      </c>
      <c r="D127" s="18">
        <v>45856</v>
      </c>
      <c r="E127" s="7" t="s">
        <v>26</v>
      </c>
      <c r="F127" s="7" t="s">
        <v>18</v>
      </c>
      <c r="G127" s="7" t="s">
        <v>197</v>
      </c>
      <c r="H127" s="7" t="s">
        <v>55</v>
      </c>
      <c r="I127" s="19">
        <v>50</v>
      </c>
      <c r="J127" s="7" t="s">
        <v>25</v>
      </c>
    </row>
    <row r="128" spans="3:10" x14ac:dyDescent="0.25">
      <c r="C128" s="7">
        <v>125</v>
      </c>
      <c r="D128" s="18">
        <v>45856</v>
      </c>
      <c r="E128" s="7" t="s">
        <v>17</v>
      </c>
      <c r="F128" s="7" t="s">
        <v>21</v>
      </c>
      <c r="G128" s="7"/>
      <c r="H128" s="7" t="s">
        <v>191</v>
      </c>
      <c r="I128" s="19">
        <v>8</v>
      </c>
      <c r="J128" s="7" t="s">
        <v>25</v>
      </c>
    </row>
    <row r="129" spans="3:10" x14ac:dyDescent="0.25">
      <c r="C129" s="7">
        <v>126</v>
      </c>
      <c r="D129" s="18">
        <v>45856</v>
      </c>
      <c r="E129" s="7" t="s">
        <v>17</v>
      </c>
      <c r="F129" s="7" t="s">
        <v>21</v>
      </c>
      <c r="G129" s="7"/>
      <c r="H129" s="7" t="s">
        <v>101</v>
      </c>
      <c r="I129" s="19">
        <v>8</v>
      </c>
      <c r="J129" s="7" t="s">
        <v>25</v>
      </c>
    </row>
    <row r="130" spans="3:10" x14ac:dyDescent="0.25">
      <c r="C130" s="7">
        <v>127</v>
      </c>
      <c r="D130" s="18">
        <v>45857</v>
      </c>
      <c r="E130" s="7" t="s">
        <v>17</v>
      </c>
      <c r="F130" s="7" t="s">
        <v>20</v>
      </c>
      <c r="G130" s="7" t="s">
        <v>58</v>
      </c>
      <c r="H130" s="7" t="s">
        <v>198</v>
      </c>
      <c r="I130" s="19">
        <v>20</v>
      </c>
      <c r="J130" s="7" t="s">
        <v>25</v>
      </c>
    </row>
    <row r="131" spans="3:10" x14ac:dyDescent="0.25">
      <c r="C131" s="7">
        <v>128</v>
      </c>
      <c r="D131" s="18">
        <v>45857</v>
      </c>
      <c r="E131" s="7" t="s">
        <v>17</v>
      </c>
      <c r="F131" s="7" t="s">
        <v>18</v>
      </c>
      <c r="G131" s="7" t="s">
        <v>199</v>
      </c>
      <c r="H131" s="7" t="s">
        <v>201</v>
      </c>
      <c r="I131" s="19">
        <v>25</v>
      </c>
      <c r="J131" s="7" t="s">
        <v>25</v>
      </c>
    </row>
    <row r="132" spans="3:10" x14ac:dyDescent="0.25">
      <c r="C132" s="7">
        <v>129</v>
      </c>
      <c r="D132" s="18">
        <v>45857</v>
      </c>
      <c r="E132" s="7" t="s">
        <v>17</v>
      </c>
      <c r="F132" s="7" t="s">
        <v>20</v>
      </c>
      <c r="G132" s="7" t="s">
        <v>86</v>
      </c>
      <c r="H132" s="7" t="s">
        <v>200</v>
      </c>
      <c r="I132" s="19">
        <v>20</v>
      </c>
      <c r="J132" s="7" t="s">
        <v>24</v>
      </c>
    </row>
    <row r="133" spans="3:10" x14ac:dyDescent="0.25">
      <c r="C133" s="7">
        <v>130</v>
      </c>
      <c r="D133" s="18">
        <v>45857</v>
      </c>
      <c r="E133" s="7" t="s">
        <v>17</v>
      </c>
      <c r="F133" s="7" t="s">
        <v>39</v>
      </c>
      <c r="G133" s="7" t="s">
        <v>202</v>
      </c>
      <c r="H133" s="7"/>
      <c r="I133" s="19">
        <v>12</v>
      </c>
      <c r="J133" s="7" t="s">
        <v>24</v>
      </c>
    </row>
    <row r="134" spans="3:10" x14ac:dyDescent="0.25">
      <c r="C134" s="7">
        <v>131</v>
      </c>
      <c r="D134" s="18">
        <v>45857</v>
      </c>
      <c r="E134" s="7" t="s">
        <v>17</v>
      </c>
      <c r="F134" s="7" t="s">
        <v>21</v>
      </c>
      <c r="G134" s="7"/>
      <c r="H134" s="7" t="s">
        <v>101</v>
      </c>
      <c r="I134" s="19">
        <v>10</v>
      </c>
      <c r="J134" s="7" t="s">
        <v>24</v>
      </c>
    </row>
    <row r="135" spans="3:10" x14ac:dyDescent="0.25">
      <c r="C135" s="7">
        <v>132</v>
      </c>
      <c r="D135" s="18">
        <v>45857</v>
      </c>
      <c r="E135" s="7" t="s">
        <v>17</v>
      </c>
      <c r="F135" s="7" t="s">
        <v>21</v>
      </c>
      <c r="G135" s="7"/>
      <c r="H135" s="7" t="s">
        <v>101</v>
      </c>
      <c r="I135" s="19">
        <v>10</v>
      </c>
      <c r="J135" s="7" t="s">
        <v>25</v>
      </c>
    </row>
    <row r="136" spans="3:10" x14ac:dyDescent="0.25">
      <c r="C136" s="7">
        <v>133</v>
      </c>
      <c r="D136" s="18">
        <v>45857</v>
      </c>
      <c r="E136" s="7" t="s">
        <v>17</v>
      </c>
      <c r="F136" s="7" t="s">
        <v>20</v>
      </c>
      <c r="G136" s="7" t="s">
        <v>203</v>
      </c>
      <c r="H136" s="7" t="s">
        <v>204</v>
      </c>
      <c r="I136" s="19">
        <v>20</v>
      </c>
      <c r="J136" s="7" t="s">
        <v>24</v>
      </c>
    </row>
    <row r="137" spans="3:10" x14ac:dyDescent="0.25">
      <c r="C137" s="7">
        <v>134</v>
      </c>
      <c r="D137" s="18">
        <v>45857</v>
      </c>
      <c r="E137" s="7" t="s">
        <v>26</v>
      </c>
      <c r="F137" s="7" t="s">
        <v>20</v>
      </c>
      <c r="G137" s="7" t="s">
        <v>205</v>
      </c>
      <c r="H137" s="7" t="s">
        <v>206</v>
      </c>
      <c r="I137" s="19">
        <v>45</v>
      </c>
      <c r="J137" s="7" t="s">
        <v>24</v>
      </c>
    </row>
    <row r="138" spans="3:10" x14ac:dyDescent="0.25">
      <c r="C138" s="7">
        <v>135</v>
      </c>
      <c r="D138" s="18">
        <v>45857</v>
      </c>
      <c r="E138" s="7" t="s">
        <v>26</v>
      </c>
      <c r="F138" s="7" t="s">
        <v>18</v>
      </c>
      <c r="G138" s="7" t="s">
        <v>207</v>
      </c>
      <c r="H138" s="7" t="s">
        <v>208</v>
      </c>
      <c r="I138" s="19">
        <v>50</v>
      </c>
      <c r="J138" s="7" t="s">
        <v>24</v>
      </c>
    </row>
    <row r="139" spans="3:10" x14ac:dyDescent="0.25">
      <c r="C139" s="7">
        <v>136</v>
      </c>
      <c r="D139" s="18">
        <v>45857</v>
      </c>
      <c r="E139" s="7" t="s">
        <v>26</v>
      </c>
      <c r="F139" s="7" t="s">
        <v>18</v>
      </c>
      <c r="G139" s="7" t="s">
        <v>209</v>
      </c>
      <c r="H139" s="7" t="s">
        <v>210</v>
      </c>
      <c r="I139" s="19">
        <v>45</v>
      </c>
      <c r="J139" s="7" t="s">
        <v>25</v>
      </c>
    </row>
    <row r="140" spans="3:10" x14ac:dyDescent="0.25">
      <c r="C140" s="7">
        <v>137</v>
      </c>
      <c r="D140" s="18">
        <v>45857</v>
      </c>
      <c r="E140" s="7" t="s">
        <v>17</v>
      </c>
      <c r="F140" s="7" t="s">
        <v>21</v>
      </c>
      <c r="G140" s="7"/>
      <c r="H140" s="7" t="s">
        <v>165</v>
      </c>
      <c r="I140" s="19">
        <v>12</v>
      </c>
      <c r="J140" s="7" t="s">
        <v>25</v>
      </c>
    </row>
    <row r="141" spans="3:10" x14ac:dyDescent="0.25">
      <c r="C141" s="7">
        <v>138</v>
      </c>
      <c r="D141" s="18">
        <v>45857</v>
      </c>
      <c r="E141" s="7" t="s">
        <v>17</v>
      </c>
      <c r="F141" s="7" t="s">
        <v>20</v>
      </c>
      <c r="G141" s="7" t="s">
        <v>211</v>
      </c>
      <c r="H141" s="7" t="s">
        <v>196</v>
      </c>
      <c r="I141" s="19">
        <v>20</v>
      </c>
      <c r="J141" s="7" t="s">
        <v>25</v>
      </c>
    </row>
    <row r="142" spans="3:10" x14ac:dyDescent="0.25">
      <c r="C142" s="7">
        <v>139</v>
      </c>
      <c r="D142" s="18">
        <v>45857</v>
      </c>
      <c r="E142" s="7" t="s">
        <v>17</v>
      </c>
      <c r="F142" s="7" t="s">
        <v>20</v>
      </c>
      <c r="G142" s="7"/>
      <c r="H142" s="7" t="s">
        <v>212</v>
      </c>
      <c r="I142" s="19">
        <v>15</v>
      </c>
      <c r="J142" s="7" t="s">
        <v>24</v>
      </c>
    </row>
    <row r="143" spans="3:10" x14ac:dyDescent="0.25">
      <c r="C143" s="7">
        <v>140</v>
      </c>
      <c r="D143" s="18">
        <v>45857</v>
      </c>
      <c r="E143" s="7" t="s">
        <v>17</v>
      </c>
      <c r="F143" s="7" t="s">
        <v>20</v>
      </c>
      <c r="G143" s="7" t="s">
        <v>213</v>
      </c>
      <c r="H143" s="7" t="s">
        <v>214</v>
      </c>
      <c r="I143" s="19">
        <v>30</v>
      </c>
      <c r="J143" s="7" t="s">
        <v>25</v>
      </c>
    </row>
    <row r="144" spans="3:10" x14ac:dyDescent="0.25">
      <c r="C144" s="7">
        <v>141</v>
      </c>
      <c r="D144" s="18">
        <v>45857</v>
      </c>
      <c r="E144" s="7" t="s">
        <v>17</v>
      </c>
      <c r="F144" s="7" t="s">
        <v>20</v>
      </c>
      <c r="G144" s="7" t="s">
        <v>215</v>
      </c>
      <c r="H144" s="7" t="s">
        <v>216</v>
      </c>
      <c r="I144" s="19">
        <v>20</v>
      </c>
      <c r="J144" s="7" t="s">
        <v>25</v>
      </c>
    </row>
    <row r="145" spans="3:10" x14ac:dyDescent="0.25">
      <c r="C145" s="7">
        <v>142</v>
      </c>
      <c r="D145" s="18">
        <v>45858</v>
      </c>
      <c r="E145" s="7" t="s">
        <v>17</v>
      </c>
      <c r="F145" s="7" t="s">
        <v>20</v>
      </c>
      <c r="G145" s="7"/>
      <c r="H145" s="7" t="s">
        <v>69</v>
      </c>
      <c r="I145" s="19">
        <v>20</v>
      </c>
      <c r="J145" s="7" t="s">
        <v>24</v>
      </c>
    </row>
    <row r="146" spans="3:10" x14ac:dyDescent="0.25">
      <c r="C146" s="7">
        <v>143</v>
      </c>
      <c r="D146" s="18">
        <v>45858</v>
      </c>
      <c r="E146" s="7" t="s">
        <v>26</v>
      </c>
      <c r="F146" s="7" t="s">
        <v>18</v>
      </c>
      <c r="G146" s="7" t="s">
        <v>217</v>
      </c>
      <c r="H146" s="7" t="s">
        <v>218</v>
      </c>
      <c r="I146" s="19">
        <v>75</v>
      </c>
      <c r="J146" s="7" t="s">
        <v>25</v>
      </c>
    </row>
    <row r="147" spans="3:10" x14ac:dyDescent="0.25">
      <c r="C147" s="7">
        <v>144</v>
      </c>
      <c r="D147" s="18">
        <v>45858</v>
      </c>
      <c r="E147" s="7" t="s">
        <v>17</v>
      </c>
      <c r="F147" s="7" t="s">
        <v>18</v>
      </c>
      <c r="G147" s="7"/>
      <c r="H147" s="7" t="s">
        <v>218</v>
      </c>
      <c r="I147" s="19">
        <v>20</v>
      </c>
      <c r="J147" s="7" t="s">
        <v>25</v>
      </c>
    </row>
    <row r="148" spans="3:10" x14ac:dyDescent="0.25">
      <c r="C148" s="7">
        <v>145</v>
      </c>
      <c r="D148" s="18">
        <v>45858</v>
      </c>
      <c r="E148" s="7" t="s">
        <v>17</v>
      </c>
      <c r="F148" s="7" t="s">
        <v>20</v>
      </c>
      <c r="G148" s="7" t="s">
        <v>219</v>
      </c>
      <c r="H148" s="7" t="s">
        <v>220</v>
      </c>
      <c r="I148" s="19">
        <v>20</v>
      </c>
      <c r="J148" s="7" t="s">
        <v>25</v>
      </c>
    </row>
    <row r="149" spans="3:10" x14ac:dyDescent="0.25">
      <c r="C149" s="7">
        <v>146</v>
      </c>
      <c r="D149" s="18">
        <v>45858</v>
      </c>
      <c r="E149" s="7" t="s">
        <v>17</v>
      </c>
      <c r="F149" s="7" t="s">
        <v>18</v>
      </c>
      <c r="G149" s="7" t="s">
        <v>221</v>
      </c>
      <c r="H149" s="7"/>
      <c r="I149" s="19">
        <v>35</v>
      </c>
      <c r="J149" s="7" t="s">
        <v>25</v>
      </c>
    </row>
    <row r="150" spans="3:10" x14ac:dyDescent="0.25">
      <c r="C150" s="7">
        <v>147</v>
      </c>
      <c r="D150" s="18">
        <v>45858</v>
      </c>
      <c r="E150" s="7" t="s">
        <v>17</v>
      </c>
      <c r="F150" s="7" t="s">
        <v>94</v>
      </c>
      <c r="G150" s="7"/>
      <c r="H150" s="7" t="s">
        <v>101</v>
      </c>
      <c r="I150" s="19">
        <v>10</v>
      </c>
      <c r="J150" s="7" t="s">
        <v>24</v>
      </c>
    </row>
    <row r="151" spans="3:10" x14ac:dyDescent="0.25">
      <c r="C151" s="7">
        <v>148</v>
      </c>
      <c r="D151" s="18">
        <v>45858</v>
      </c>
      <c r="E151" s="7" t="s">
        <v>26</v>
      </c>
      <c r="F151" s="7" t="s">
        <v>18</v>
      </c>
      <c r="G151" s="7"/>
      <c r="H151" s="7" t="s">
        <v>89</v>
      </c>
      <c r="I151" s="19">
        <v>20</v>
      </c>
      <c r="J151" s="7" t="s">
        <v>25</v>
      </c>
    </row>
    <row r="152" spans="3:10" x14ac:dyDescent="0.25">
      <c r="C152" s="7">
        <v>149</v>
      </c>
      <c r="D152" s="18">
        <v>45859</v>
      </c>
      <c r="E152" s="7" t="s">
        <v>17</v>
      </c>
      <c r="F152" s="7" t="s">
        <v>21</v>
      </c>
      <c r="G152" s="7" t="s">
        <v>222</v>
      </c>
      <c r="H152" s="7" t="s">
        <v>101</v>
      </c>
      <c r="I152" s="19">
        <v>10</v>
      </c>
      <c r="J152" s="7" t="s">
        <v>24</v>
      </c>
    </row>
    <row r="153" spans="3:10" x14ac:dyDescent="0.25">
      <c r="C153" s="7">
        <v>150</v>
      </c>
      <c r="D153" s="18">
        <v>45859</v>
      </c>
      <c r="E153" s="7" t="s">
        <v>26</v>
      </c>
      <c r="F153" s="7" t="s">
        <v>18</v>
      </c>
      <c r="G153" s="7" t="s">
        <v>223</v>
      </c>
      <c r="H153" s="7" t="s">
        <v>73</v>
      </c>
      <c r="I153" s="19">
        <v>45</v>
      </c>
      <c r="J153" s="7" t="s">
        <v>25</v>
      </c>
    </row>
    <row r="154" spans="3:10" x14ac:dyDescent="0.25">
      <c r="C154" s="7">
        <v>151</v>
      </c>
      <c r="D154" s="18">
        <v>45859</v>
      </c>
      <c r="E154" s="7" t="s">
        <v>17</v>
      </c>
      <c r="F154" s="7" t="s">
        <v>224</v>
      </c>
      <c r="G154" s="7"/>
      <c r="H154" s="7"/>
      <c r="I154" s="19">
        <v>12</v>
      </c>
      <c r="J154" s="7" t="s">
        <v>25</v>
      </c>
    </row>
    <row r="155" spans="3:10" x14ac:dyDescent="0.25">
      <c r="C155" s="7">
        <v>152</v>
      </c>
      <c r="D155" s="18">
        <v>45859</v>
      </c>
      <c r="E155" s="7" t="s">
        <v>17</v>
      </c>
      <c r="F155" s="7" t="s">
        <v>20</v>
      </c>
      <c r="G155" s="7"/>
      <c r="H155" s="7" t="s">
        <v>107</v>
      </c>
      <c r="I155" s="19">
        <v>20</v>
      </c>
      <c r="J155" s="7" t="s">
        <v>24</v>
      </c>
    </row>
    <row r="156" spans="3:10" x14ac:dyDescent="0.25">
      <c r="C156" s="7">
        <v>153</v>
      </c>
      <c r="D156" s="18">
        <v>45859</v>
      </c>
      <c r="E156" s="7" t="s">
        <v>17</v>
      </c>
      <c r="F156" s="7" t="s">
        <v>18</v>
      </c>
      <c r="G156" s="7" t="s">
        <v>225</v>
      </c>
      <c r="H156" s="7" t="s">
        <v>73</v>
      </c>
      <c r="I156" s="19">
        <v>25</v>
      </c>
      <c r="J156" s="7" t="s">
        <v>24</v>
      </c>
    </row>
    <row r="157" spans="3:10" x14ac:dyDescent="0.25">
      <c r="C157" s="7">
        <v>154</v>
      </c>
      <c r="D157" s="18">
        <v>45859</v>
      </c>
      <c r="E157" s="7" t="s">
        <v>17</v>
      </c>
      <c r="F157" s="7" t="s">
        <v>18</v>
      </c>
      <c r="G157" s="7" t="s">
        <v>226</v>
      </c>
      <c r="H157" s="7" t="s">
        <v>89</v>
      </c>
      <c r="I157" s="19">
        <v>25</v>
      </c>
      <c r="J157" s="7" t="s">
        <v>25</v>
      </c>
    </row>
    <row r="158" spans="3:10" x14ac:dyDescent="0.25">
      <c r="C158" s="7">
        <v>155</v>
      </c>
      <c r="D158" s="18">
        <v>45859</v>
      </c>
      <c r="E158" s="7" t="s">
        <v>17</v>
      </c>
      <c r="F158" s="7" t="s">
        <v>227</v>
      </c>
      <c r="G158" s="7"/>
      <c r="H158" s="7" t="s">
        <v>228</v>
      </c>
      <c r="I158" s="19">
        <v>20</v>
      </c>
      <c r="J158" s="7" t="s">
        <v>24</v>
      </c>
    </row>
    <row r="159" spans="3:10" x14ac:dyDescent="0.25">
      <c r="C159" s="7">
        <v>156</v>
      </c>
      <c r="D159" s="18">
        <v>45859</v>
      </c>
      <c r="E159" s="7" t="s">
        <v>19</v>
      </c>
      <c r="F159" s="7" t="s">
        <v>18</v>
      </c>
      <c r="G159" s="7"/>
      <c r="H159" s="7" t="s">
        <v>180</v>
      </c>
      <c r="I159" s="19">
        <v>15</v>
      </c>
      <c r="J159" s="7" t="s">
        <v>25</v>
      </c>
    </row>
    <row r="160" spans="3:10" x14ac:dyDescent="0.25">
      <c r="C160" s="7">
        <v>157</v>
      </c>
      <c r="D160" s="18">
        <v>45860</v>
      </c>
      <c r="E160" s="7" t="s">
        <v>17</v>
      </c>
      <c r="F160" s="7" t="s">
        <v>20</v>
      </c>
      <c r="G160" s="7" t="s">
        <v>108</v>
      </c>
      <c r="H160" s="7" t="s">
        <v>229</v>
      </c>
      <c r="I160" s="19">
        <v>20</v>
      </c>
      <c r="J160" s="7" t="s">
        <v>24</v>
      </c>
    </row>
    <row r="161" spans="3:10" x14ac:dyDescent="0.25">
      <c r="C161" s="7">
        <v>158</v>
      </c>
      <c r="D161" s="18">
        <v>45860</v>
      </c>
      <c r="E161" s="7" t="s">
        <v>19</v>
      </c>
      <c r="F161" s="7" t="s">
        <v>18</v>
      </c>
      <c r="G161" s="7"/>
      <c r="H161" s="7" t="s">
        <v>230</v>
      </c>
      <c r="I161" s="19">
        <v>15</v>
      </c>
      <c r="J161" s="7" t="s">
        <v>24</v>
      </c>
    </row>
    <row r="162" spans="3:10" x14ac:dyDescent="0.25">
      <c r="C162" s="7">
        <v>159</v>
      </c>
      <c r="D162" s="18">
        <v>45860</v>
      </c>
      <c r="E162" s="7" t="s">
        <v>17</v>
      </c>
      <c r="F162" s="7" t="s">
        <v>18</v>
      </c>
      <c r="G162" s="7" t="s">
        <v>231</v>
      </c>
      <c r="H162" s="7" t="s">
        <v>153</v>
      </c>
      <c r="I162" s="19">
        <v>25</v>
      </c>
      <c r="J162" s="7" t="s">
        <v>25</v>
      </c>
    </row>
    <row r="163" spans="3:10" x14ac:dyDescent="0.25">
      <c r="C163" s="7">
        <v>160</v>
      </c>
      <c r="D163" s="18">
        <v>45860</v>
      </c>
      <c r="E163" s="7" t="s">
        <v>17</v>
      </c>
      <c r="F163" s="7" t="s">
        <v>21</v>
      </c>
      <c r="G163" s="7" t="s">
        <v>232</v>
      </c>
      <c r="H163" s="7" t="s">
        <v>233</v>
      </c>
      <c r="I163" s="19">
        <v>10</v>
      </c>
      <c r="J163" s="7" t="s">
        <v>24</v>
      </c>
    </row>
    <row r="164" spans="3:10" x14ac:dyDescent="0.25">
      <c r="C164" s="7">
        <v>161</v>
      </c>
      <c r="D164" s="18">
        <v>45860</v>
      </c>
      <c r="E164" s="7" t="s">
        <v>17</v>
      </c>
      <c r="F164" s="7" t="s">
        <v>20</v>
      </c>
      <c r="G164" s="7" t="s">
        <v>42</v>
      </c>
      <c r="H164" s="7" t="s">
        <v>47</v>
      </c>
      <c r="I164" s="19">
        <v>15</v>
      </c>
      <c r="J164" s="7" t="s">
        <v>25</v>
      </c>
    </row>
    <row r="165" spans="3:10" x14ac:dyDescent="0.25">
      <c r="C165" s="7">
        <v>162</v>
      </c>
      <c r="D165" s="18">
        <v>45860</v>
      </c>
      <c r="E165" s="7" t="s">
        <v>17</v>
      </c>
      <c r="F165" s="7" t="s">
        <v>18</v>
      </c>
      <c r="G165" s="7" t="s">
        <v>234</v>
      </c>
      <c r="H165" s="7" t="s">
        <v>235</v>
      </c>
      <c r="I165" s="19">
        <v>20</v>
      </c>
      <c r="J165" s="7" t="s">
        <v>25</v>
      </c>
    </row>
    <row r="166" spans="3:10" x14ac:dyDescent="0.25">
      <c r="C166" s="7">
        <v>163</v>
      </c>
      <c r="D166" s="18">
        <v>45860</v>
      </c>
      <c r="E166" s="7" t="s">
        <v>17</v>
      </c>
      <c r="F166" s="7" t="s">
        <v>18</v>
      </c>
      <c r="G166" s="7"/>
      <c r="H166" s="7" t="s">
        <v>32</v>
      </c>
      <c r="I166" s="19">
        <v>25</v>
      </c>
      <c r="J166" s="7" t="s">
        <v>24</v>
      </c>
    </row>
    <row r="167" spans="3:10" x14ac:dyDescent="0.25">
      <c r="C167" s="7">
        <v>164</v>
      </c>
      <c r="D167" s="18">
        <v>45861</v>
      </c>
      <c r="E167" s="7" t="s">
        <v>19</v>
      </c>
      <c r="F167" s="7" t="s">
        <v>20</v>
      </c>
      <c r="G167" s="7" t="s">
        <v>236</v>
      </c>
      <c r="H167" s="7" t="s">
        <v>237</v>
      </c>
      <c r="I167" s="19">
        <v>25</v>
      </c>
      <c r="J167" s="7" t="s">
        <v>24</v>
      </c>
    </row>
    <row r="168" spans="3:10" x14ac:dyDescent="0.25">
      <c r="C168" s="7">
        <v>165</v>
      </c>
      <c r="D168" s="18">
        <v>45861</v>
      </c>
      <c r="E168" s="7" t="s">
        <v>26</v>
      </c>
      <c r="F168" s="7" t="s">
        <v>20</v>
      </c>
      <c r="G168" s="7"/>
      <c r="H168" s="7" t="s">
        <v>47</v>
      </c>
      <c r="I168" s="19">
        <v>30</v>
      </c>
      <c r="J168" s="7" t="s">
        <v>24</v>
      </c>
    </row>
    <row r="169" spans="3:10" x14ac:dyDescent="0.25">
      <c r="C169" s="7">
        <v>166</v>
      </c>
      <c r="D169" s="18">
        <v>45861</v>
      </c>
      <c r="E169" s="7" t="s">
        <v>78</v>
      </c>
      <c r="F169" s="7" t="s">
        <v>18</v>
      </c>
      <c r="G169" s="7" t="s">
        <v>238</v>
      </c>
      <c r="H169" s="7" t="s">
        <v>239</v>
      </c>
      <c r="I169" s="19">
        <v>250</v>
      </c>
      <c r="J169" s="7" t="s">
        <v>25</v>
      </c>
    </row>
    <row r="170" spans="3:10" x14ac:dyDescent="0.25">
      <c r="C170" s="7">
        <v>167</v>
      </c>
      <c r="D170" s="18">
        <v>45861</v>
      </c>
      <c r="E170" s="7" t="s">
        <v>17</v>
      </c>
      <c r="F170" s="7" t="s">
        <v>18</v>
      </c>
      <c r="G170" s="7"/>
      <c r="H170" s="7" t="s">
        <v>240</v>
      </c>
      <c r="I170" s="19">
        <v>25</v>
      </c>
      <c r="J170" s="7" t="s">
        <v>25</v>
      </c>
    </row>
    <row r="171" spans="3:10" x14ac:dyDescent="0.25">
      <c r="C171" s="7">
        <v>168</v>
      </c>
      <c r="D171" s="18">
        <v>45861</v>
      </c>
      <c r="E171" s="7" t="s">
        <v>17</v>
      </c>
      <c r="F171" s="7" t="s">
        <v>20</v>
      </c>
      <c r="G171" s="7" t="s">
        <v>241</v>
      </c>
      <c r="H171" s="7" t="s">
        <v>242</v>
      </c>
      <c r="I171" s="19">
        <v>30</v>
      </c>
      <c r="J171" s="7" t="s">
        <v>25</v>
      </c>
    </row>
    <row r="172" spans="3:10" x14ac:dyDescent="0.25">
      <c r="C172" s="7">
        <v>169</v>
      </c>
      <c r="D172" s="18">
        <v>45862</v>
      </c>
      <c r="E172" s="7" t="s">
        <v>17</v>
      </c>
      <c r="F172" s="7" t="s">
        <v>18</v>
      </c>
      <c r="G172" s="7" t="s">
        <v>243</v>
      </c>
      <c r="H172" s="7" t="s">
        <v>239</v>
      </c>
      <c r="I172" s="19">
        <v>30</v>
      </c>
      <c r="J172" s="7" t="s">
        <v>244</v>
      </c>
    </row>
    <row r="173" spans="3:10" x14ac:dyDescent="0.25">
      <c r="C173" s="7">
        <v>170</v>
      </c>
      <c r="D173" s="18">
        <v>45862</v>
      </c>
      <c r="E173" s="7" t="s">
        <v>26</v>
      </c>
      <c r="F173" s="7" t="s">
        <v>18</v>
      </c>
      <c r="G173" s="7" t="s">
        <v>28</v>
      </c>
      <c r="H173" s="7" t="s">
        <v>29</v>
      </c>
      <c r="I173" s="19">
        <v>50</v>
      </c>
      <c r="J173" s="7" t="s">
        <v>24</v>
      </c>
    </row>
    <row r="174" spans="3:10" x14ac:dyDescent="0.25">
      <c r="C174" s="7">
        <v>171</v>
      </c>
      <c r="D174" s="18">
        <v>45862</v>
      </c>
      <c r="E174" s="7" t="s">
        <v>26</v>
      </c>
      <c r="F174" s="7" t="s">
        <v>18</v>
      </c>
      <c r="G174" s="7" t="s">
        <v>64</v>
      </c>
      <c r="H174" s="7" t="s">
        <v>245</v>
      </c>
      <c r="I174" s="19">
        <v>35</v>
      </c>
      <c r="J174" s="7" t="s">
        <v>25</v>
      </c>
    </row>
    <row r="175" spans="3:10" x14ac:dyDescent="0.25">
      <c r="C175" s="7">
        <v>172</v>
      </c>
      <c r="D175" s="18">
        <v>45863</v>
      </c>
      <c r="E175" s="7" t="s">
        <v>17</v>
      </c>
      <c r="F175" s="7" t="s">
        <v>20</v>
      </c>
      <c r="G175" s="7" t="s">
        <v>246</v>
      </c>
      <c r="H175" s="7" t="s">
        <v>247</v>
      </c>
      <c r="I175" s="19">
        <v>25</v>
      </c>
      <c r="J175" s="7" t="s">
        <v>24</v>
      </c>
    </row>
    <row r="176" spans="3:10" x14ac:dyDescent="0.25">
      <c r="C176" s="7">
        <v>173</v>
      </c>
      <c r="D176" s="18">
        <v>45863</v>
      </c>
      <c r="E176" s="7" t="s">
        <v>26</v>
      </c>
      <c r="F176" s="7" t="s">
        <v>18</v>
      </c>
      <c r="G176" s="7" t="s">
        <v>111</v>
      </c>
      <c r="H176" s="7" t="s">
        <v>220</v>
      </c>
      <c r="I176" s="19">
        <v>45</v>
      </c>
      <c r="J176" s="7" t="s">
        <v>24</v>
      </c>
    </row>
    <row r="177" spans="3:10" x14ac:dyDescent="0.25">
      <c r="C177" s="7">
        <v>174</v>
      </c>
      <c r="D177" s="18">
        <v>45863</v>
      </c>
      <c r="E177" s="7" t="s">
        <v>26</v>
      </c>
      <c r="F177" s="7" t="s">
        <v>18</v>
      </c>
      <c r="G177" s="7" t="s">
        <v>79</v>
      </c>
      <c r="H177" s="7" t="s">
        <v>80</v>
      </c>
      <c r="I177" s="19">
        <v>45</v>
      </c>
      <c r="J177" s="7" t="s">
        <v>24</v>
      </c>
    </row>
    <row r="178" spans="3:10" x14ac:dyDescent="0.25">
      <c r="C178" s="7">
        <v>175</v>
      </c>
      <c r="D178" s="18">
        <v>45863</v>
      </c>
      <c r="E178" s="7" t="s">
        <v>17</v>
      </c>
      <c r="F178" s="7" t="s">
        <v>18</v>
      </c>
      <c r="G178" s="7" t="s">
        <v>248</v>
      </c>
      <c r="H178" s="7" t="s">
        <v>112</v>
      </c>
      <c r="I178" s="19">
        <v>25</v>
      </c>
      <c r="J178" s="7" t="s">
        <v>24</v>
      </c>
    </row>
    <row r="179" spans="3:10" x14ac:dyDescent="0.25">
      <c r="C179" s="7">
        <v>176</v>
      </c>
      <c r="D179" s="18">
        <v>45863</v>
      </c>
      <c r="E179" s="7" t="s">
        <v>17</v>
      </c>
      <c r="F179" s="7" t="s">
        <v>21</v>
      </c>
      <c r="G179" s="7" t="s">
        <v>249</v>
      </c>
      <c r="H179" s="7" t="s">
        <v>124</v>
      </c>
      <c r="I179" s="19">
        <v>10</v>
      </c>
      <c r="J179" s="7" t="s">
        <v>24</v>
      </c>
    </row>
    <row r="180" spans="3:10" x14ac:dyDescent="0.25">
      <c r="C180" s="7">
        <v>177</v>
      </c>
      <c r="D180" s="18">
        <v>45863</v>
      </c>
      <c r="E180" s="7" t="s">
        <v>26</v>
      </c>
      <c r="F180" s="7" t="s">
        <v>20</v>
      </c>
      <c r="G180" s="7" t="s">
        <v>130</v>
      </c>
      <c r="H180" s="7" t="s">
        <v>131</v>
      </c>
      <c r="I180" s="19">
        <v>40</v>
      </c>
      <c r="J180" s="7" t="s">
        <v>24</v>
      </c>
    </row>
    <row r="181" spans="3:10" x14ac:dyDescent="0.25">
      <c r="C181" s="7">
        <v>178</v>
      </c>
      <c r="D181" s="18">
        <v>45863</v>
      </c>
      <c r="E181" s="7" t="s">
        <v>19</v>
      </c>
      <c r="F181" s="7" t="s">
        <v>21</v>
      </c>
      <c r="G181" s="7"/>
      <c r="H181" s="7" t="s">
        <v>250</v>
      </c>
      <c r="I181" s="19">
        <v>3</v>
      </c>
      <c r="J181" s="7" t="s">
        <v>25</v>
      </c>
    </row>
    <row r="182" spans="3:10" x14ac:dyDescent="0.25">
      <c r="C182" s="7">
        <v>179</v>
      </c>
      <c r="D182" s="18">
        <v>45864</v>
      </c>
      <c r="E182" s="7" t="s">
        <v>17</v>
      </c>
      <c r="F182" s="7" t="s">
        <v>20</v>
      </c>
      <c r="G182" s="7" t="s">
        <v>121</v>
      </c>
      <c r="H182" s="7" t="s">
        <v>122</v>
      </c>
      <c r="I182" s="19">
        <v>20</v>
      </c>
      <c r="J182" s="7" t="s">
        <v>24</v>
      </c>
    </row>
    <row r="183" spans="3:10" x14ac:dyDescent="0.25">
      <c r="C183" s="7">
        <v>180</v>
      </c>
      <c r="D183" s="18">
        <v>45864</v>
      </c>
      <c r="E183" s="7" t="s">
        <v>17</v>
      </c>
      <c r="F183" s="7" t="s">
        <v>18</v>
      </c>
      <c r="G183" s="7" t="s">
        <v>251</v>
      </c>
      <c r="H183" s="7" t="s">
        <v>128</v>
      </c>
      <c r="I183" s="19">
        <v>35</v>
      </c>
      <c r="J183" s="7" t="s">
        <v>25</v>
      </c>
    </row>
    <row r="184" spans="3:10" x14ac:dyDescent="0.25">
      <c r="C184" s="7">
        <v>181</v>
      </c>
      <c r="D184" s="18">
        <v>45864</v>
      </c>
      <c r="E184" s="7" t="s">
        <v>17</v>
      </c>
      <c r="F184" s="7" t="s">
        <v>21</v>
      </c>
      <c r="G184" s="7"/>
      <c r="H184" s="7" t="s">
        <v>101</v>
      </c>
      <c r="I184" s="19">
        <v>10</v>
      </c>
      <c r="J184" s="7" t="s">
        <v>25</v>
      </c>
    </row>
    <row r="185" spans="3:10" x14ac:dyDescent="0.25">
      <c r="C185" s="7">
        <v>182</v>
      </c>
      <c r="D185" s="18">
        <v>45864</v>
      </c>
      <c r="E185" s="7" t="s">
        <v>17</v>
      </c>
      <c r="F185" s="7" t="s">
        <v>18</v>
      </c>
      <c r="G185" s="7" t="s">
        <v>252</v>
      </c>
      <c r="H185" s="7" t="s">
        <v>122</v>
      </c>
      <c r="I185" s="19">
        <v>25</v>
      </c>
      <c r="J185" s="7" t="s">
        <v>25</v>
      </c>
    </row>
    <row r="186" spans="3:10" x14ac:dyDescent="0.25">
      <c r="C186" s="7">
        <v>183</v>
      </c>
      <c r="D186" s="18">
        <v>45864</v>
      </c>
      <c r="E186" s="7" t="s">
        <v>17</v>
      </c>
      <c r="F186" s="7" t="s">
        <v>21</v>
      </c>
      <c r="G186" s="7" t="s">
        <v>253</v>
      </c>
      <c r="H186" s="7" t="s">
        <v>254</v>
      </c>
      <c r="I186" s="19">
        <v>10</v>
      </c>
      <c r="J186" s="7" t="s">
        <v>25</v>
      </c>
    </row>
    <row r="187" spans="3:10" x14ac:dyDescent="0.25">
      <c r="C187" s="7">
        <v>184</v>
      </c>
      <c r="D187" s="18">
        <v>45864</v>
      </c>
      <c r="E187" s="7" t="s">
        <v>26</v>
      </c>
      <c r="F187" s="7" t="s">
        <v>18</v>
      </c>
      <c r="G187" s="7" t="s">
        <v>192</v>
      </c>
      <c r="H187" s="7"/>
      <c r="I187" s="19">
        <v>50</v>
      </c>
      <c r="J187" s="7" t="s">
        <v>25</v>
      </c>
    </row>
    <row r="188" spans="3:10" x14ac:dyDescent="0.25">
      <c r="C188" s="7">
        <v>185</v>
      </c>
      <c r="D188" s="18">
        <v>45864</v>
      </c>
      <c r="E188" s="7" t="s">
        <v>17</v>
      </c>
      <c r="F188" s="7" t="s">
        <v>21</v>
      </c>
      <c r="G188" s="7" t="s">
        <v>255</v>
      </c>
      <c r="H188" s="7" t="s">
        <v>101</v>
      </c>
      <c r="I188" s="19">
        <v>10</v>
      </c>
      <c r="J188" s="7" t="s">
        <v>25</v>
      </c>
    </row>
    <row r="189" spans="3:10" x14ac:dyDescent="0.25">
      <c r="C189" s="7">
        <v>186</v>
      </c>
      <c r="D189" s="18">
        <v>45864</v>
      </c>
      <c r="E189" s="7" t="s">
        <v>17</v>
      </c>
      <c r="F189" s="7" t="s">
        <v>20</v>
      </c>
      <c r="G189" s="7" t="s">
        <v>256</v>
      </c>
      <c r="H189" s="7" t="s">
        <v>257</v>
      </c>
      <c r="I189" s="19">
        <v>35</v>
      </c>
      <c r="J189" s="7" t="s">
        <v>25</v>
      </c>
    </row>
    <row r="190" spans="3:10" x14ac:dyDescent="0.25">
      <c r="C190" s="7">
        <v>187</v>
      </c>
      <c r="D190" s="18">
        <v>45864</v>
      </c>
      <c r="E190" s="7" t="s">
        <v>17</v>
      </c>
      <c r="F190" s="7" t="s">
        <v>21</v>
      </c>
      <c r="G190" s="7" t="s">
        <v>258</v>
      </c>
      <c r="H190" s="7" t="s">
        <v>259</v>
      </c>
      <c r="I190" s="19">
        <v>12</v>
      </c>
      <c r="J190" s="7" t="s">
        <v>25</v>
      </c>
    </row>
    <row r="191" spans="3:10" x14ac:dyDescent="0.25">
      <c r="C191" s="7">
        <v>188</v>
      </c>
      <c r="D191" s="28">
        <v>45864</v>
      </c>
      <c r="E191" s="26" t="s">
        <v>17</v>
      </c>
      <c r="F191" s="26" t="s">
        <v>18</v>
      </c>
      <c r="G191" s="26" t="s">
        <v>260</v>
      </c>
      <c r="H191" s="26" t="s">
        <v>311</v>
      </c>
      <c r="I191" s="27">
        <v>25</v>
      </c>
      <c r="J191" s="26" t="s">
        <v>25</v>
      </c>
    </row>
    <row r="192" spans="3:10" x14ac:dyDescent="0.25">
      <c r="C192" s="7">
        <v>189</v>
      </c>
      <c r="D192" s="18">
        <v>45864</v>
      </c>
      <c r="E192" s="7" t="s">
        <v>19</v>
      </c>
      <c r="F192" s="7" t="s">
        <v>18</v>
      </c>
      <c r="G192" s="7" t="s">
        <v>261</v>
      </c>
      <c r="H192" s="7" t="s">
        <v>262</v>
      </c>
      <c r="I192" s="19">
        <v>15</v>
      </c>
      <c r="J192" s="7" t="s">
        <v>24</v>
      </c>
    </row>
    <row r="193" spans="3:10" x14ac:dyDescent="0.25">
      <c r="C193" s="7">
        <v>190</v>
      </c>
      <c r="D193" s="18">
        <v>45864</v>
      </c>
      <c r="E193" s="7" t="s">
        <v>17</v>
      </c>
      <c r="F193" s="7" t="s">
        <v>20</v>
      </c>
      <c r="G193" s="7" t="s">
        <v>263</v>
      </c>
      <c r="H193" s="7" t="s">
        <v>220</v>
      </c>
      <c r="I193" s="19">
        <v>20</v>
      </c>
      <c r="J193" s="7" t="s">
        <v>24</v>
      </c>
    </row>
    <row r="194" spans="3:10" x14ac:dyDescent="0.25">
      <c r="C194" s="7">
        <v>191</v>
      </c>
      <c r="D194" s="18">
        <v>45865</v>
      </c>
      <c r="E194" s="22" t="s">
        <v>17</v>
      </c>
      <c r="F194" s="22" t="s">
        <v>20</v>
      </c>
      <c r="G194" s="7" t="s">
        <v>264</v>
      </c>
      <c r="H194" s="22" t="s">
        <v>262</v>
      </c>
      <c r="I194" s="19">
        <v>25</v>
      </c>
      <c r="J194" s="7" t="s">
        <v>24</v>
      </c>
    </row>
    <row r="195" spans="3:10" x14ac:dyDescent="0.25">
      <c r="C195" s="7">
        <v>192</v>
      </c>
      <c r="D195" s="18">
        <v>45865</v>
      </c>
      <c r="E195" s="7" t="s">
        <v>17</v>
      </c>
      <c r="F195" s="7" t="s">
        <v>20</v>
      </c>
      <c r="G195" s="7" t="s">
        <v>265</v>
      </c>
      <c r="H195" s="7" t="s">
        <v>266</v>
      </c>
      <c r="I195" s="19">
        <v>20</v>
      </c>
      <c r="J195" s="7" t="s">
        <v>24</v>
      </c>
    </row>
    <row r="196" spans="3:10" x14ac:dyDescent="0.25">
      <c r="C196" s="7">
        <v>193</v>
      </c>
      <c r="D196" s="18">
        <v>45865</v>
      </c>
      <c r="E196" s="7" t="s">
        <v>17</v>
      </c>
      <c r="F196" s="7" t="s">
        <v>18</v>
      </c>
      <c r="G196" s="7" t="s">
        <v>267</v>
      </c>
      <c r="H196" s="7" t="s">
        <v>268</v>
      </c>
      <c r="I196" s="19">
        <v>25</v>
      </c>
      <c r="J196" s="7" t="s">
        <v>25</v>
      </c>
    </row>
    <row r="197" spans="3:10" x14ac:dyDescent="0.25">
      <c r="C197" s="7">
        <v>194</v>
      </c>
      <c r="D197" s="18">
        <v>45865</v>
      </c>
      <c r="E197" s="7" t="s">
        <v>17</v>
      </c>
      <c r="F197" s="7" t="s">
        <v>20</v>
      </c>
      <c r="G197" s="7" t="s">
        <v>269</v>
      </c>
      <c r="H197" s="7" t="s">
        <v>196</v>
      </c>
      <c r="I197" s="19">
        <v>20</v>
      </c>
      <c r="J197" s="7" t="s">
        <v>24</v>
      </c>
    </row>
    <row r="198" spans="3:10" x14ac:dyDescent="0.25">
      <c r="C198" s="7">
        <v>195</v>
      </c>
      <c r="D198" s="18">
        <v>45865</v>
      </c>
      <c r="E198" s="7" t="s">
        <v>17</v>
      </c>
      <c r="F198" s="7" t="s">
        <v>20</v>
      </c>
      <c r="G198" s="7" t="s">
        <v>42</v>
      </c>
      <c r="H198" s="7" t="s">
        <v>47</v>
      </c>
      <c r="I198" s="19">
        <v>15</v>
      </c>
      <c r="J198" s="7" t="s">
        <v>25</v>
      </c>
    </row>
    <row r="199" spans="3:10" x14ac:dyDescent="0.25">
      <c r="C199" s="7">
        <v>196</v>
      </c>
      <c r="D199" s="18">
        <v>45865</v>
      </c>
      <c r="E199" s="7" t="s">
        <v>17</v>
      </c>
      <c r="F199" s="7" t="s">
        <v>18</v>
      </c>
      <c r="G199" s="7" t="s">
        <v>270</v>
      </c>
      <c r="H199" s="7" t="s">
        <v>271</v>
      </c>
      <c r="I199" s="19">
        <v>35</v>
      </c>
      <c r="J199" s="7" t="s">
        <v>25</v>
      </c>
    </row>
    <row r="200" spans="3:10" x14ac:dyDescent="0.25">
      <c r="C200" s="7">
        <v>197</v>
      </c>
      <c r="D200" s="18">
        <v>45866</v>
      </c>
      <c r="E200" s="7" t="s">
        <v>17</v>
      </c>
      <c r="F200" s="7" t="s">
        <v>39</v>
      </c>
      <c r="G200" s="7"/>
      <c r="H200" s="7" t="s">
        <v>89</v>
      </c>
      <c r="I200" s="19">
        <v>12</v>
      </c>
      <c r="J200" s="7" t="s">
        <v>25</v>
      </c>
    </row>
    <row r="201" spans="3:10" x14ac:dyDescent="0.25">
      <c r="C201" s="7">
        <v>198</v>
      </c>
      <c r="D201" s="18">
        <v>45866</v>
      </c>
      <c r="E201" s="7" t="s">
        <v>17</v>
      </c>
      <c r="F201" s="7" t="s">
        <v>18</v>
      </c>
      <c r="G201" s="7" t="s">
        <v>50</v>
      </c>
      <c r="H201" s="7" t="s">
        <v>272</v>
      </c>
      <c r="I201" s="19">
        <v>25</v>
      </c>
      <c r="J201" s="7" t="s">
        <v>25</v>
      </c>
    </row>
    <row r="202" spans="3:10" x14ac:dyDescent="0.25">
      <c r="C202" s="7">
        <v>199</v>
      </c>
      <c r="D202" s="18">
        <v>45866</v>
      </c>
      <c r="E202" s="7" t="s">
        <v>17</v>
      </c>
      <c r="F202" s="7" t="s">
        <v>18</v>
      </c>
      <c r="G202" s="7" t="s">
        <v>93</v>
      </c>
      <c r="H202" s="7" t="s">
        <v>128</v>
      </c>
      <c r="I202" s="19">
        <v>20</v>
      </c>
      <c r="J202" s="7" t="s">
        <v>25</v>
      </c>
    </row>
    <row r="203" spans="3:10" x14ac:dyDescent="0.25">
      <c r="C203" s="7">
        <v>200</v>
      </c>
      <c r="D203" s="18">
        <v>45866</v>
      </c>
      <c r="E203" s="7" t="s">
        <v>17</v>
      </c>
      <c r="F203" s="7" t="s">
        <v>21</v>
      </c>
      <c r="G203" s="7"/>
      <c r="H203" s="7" t="s">
        <v>233</v>
      </c>
      <c r="I203" s="19">
        <v>10</v>
      </c>
      <c r="J203" s="7" t="s">
        <v>24</v>
      </c>
    </row>
    <row r="204" spans="3:10" x14ac:dyDescent="0.25">
      <c r="C204" s="7">
        <v>201</v>
      </c>
      <c r="D204" s="18">
        <v>45866</v>
      </c>
      <c r="E204" s="7" t="s">
        <v>26</v>
      </c>
      <c r="F204" s="7" t="s">
        <v>20</v>
      </c>
      <c r="G204" s="7"/>
      <c r="H204" s="7" t="s">
        <v>107</v>
      </c>
      <c r="I204" s="19">
        <v>40</v>
      </c>
      <c r="J204" s="7" t="s">
        <v>25</v>
      </c>
    </row>
    <row r="205" spans="3:10" x14ac:dyDescent="0.25">
      <c r="C205" s="7">
        <v>202</v>
      </c>
      <c r="D205" s="18">
        <v>45866</v>
      </c>
      <c r="E205" s="7" t="s">
        <v>110</v>
      </c>
      <c r="F205" s="7" t="s">
        <v>18</v>
      </c>
      <c r="G205" s="7" t="s">
        <v>273</v>
      </c>
      <c r="H205" s="7" t="s">
        <v>274</v>
      </c>
      <c r="I205" s="19">
        <v>80</v>
      </c>
      <c r="J205" s="7" t="s">
        <v>24</v>
      </c>
    </row>
    <row r="206" spans="3:10" x14ac:dyDescent="0.25">
      <c r="C206" s="7">
        <v>203</v>
      </c>
      <c r="D206" s="18">
        <v>45866</v>
      </c>
      <c r="E206" s="7" t="s">
        <v>17</v>
      </c>
      <c r="F206" s="7" t="s">
        <v>20</v>
      </c>
      <c r="G206" s="7" t="s">
        <v>126</v>
      </c>
      <c r="H206" s="7" t="s">
        <v>220</v>
      </c>
      <c r="I206" s="19">
        <v>30</v>
      </c>
      <c r="J206" s="7" t="s">
        <v>24</v>
      </c>
    </row>
    <row r="207" spans="3:10" x14ac:dyDescent="0.25">
      <c r="C207" s="7">
        <v>204</v>
      </c>
      <c r="D207" s="18">
        <v>45867</v>
      </c>
      <c r="E207" s="7" t="s">
        <v>19</v>
      </c>
      <c r="F207" s="7" t="s">
        <v>18</v>
      </c>
      <c r="G207" s="7" t="s">
        <v>275</v>
      </c>
      <c r="H207" s="7" t="s">
        <v>89</v>
      </c>
      <c r="I207" s="19">
        <v>15</v>
      </c>
      <c r="J207" s="7" t="s">
        <v>24</v>
      </c>
    </row>
    <row r="208" spans="3:10" x14ac:dyDescent="0.25">
      <c r="C208" s="7">
        <v>205</v>
      </c>
      <c r="D208" s="18">
        <v>45867</v>
      </c>
      <c r="E208" s="7" t="s">
        <v>17</v>
      </c>
      <c r="F208" s="7" t="s">
        <v>20</v>
      </c>
      <c r="G208" s="7" t="s">
        <v>276</v>
      </c>
      <c r="H208" s="7" t="s">
        <v>229</v>
      </c>
      <c r="I208" s="19">
        <v>20</v>
      </c>
      <c r="J208" s="7" t="s">
        <v>24</v>
      </c>
    </row>
    <row r="209" spans="3:10" x14ac:dyDescent="0.25">
      <c r="C209" s="7">
        <v>206</v>
      </c>
      <c r="D209" s="18">
        <v>45867</v>
      </c>
      <c r="E209" s="7" t="s">
        <v>19</v>
      </c>
      <c r="F209" s="7" t="s">
        <v>18</v>
      </c>
      <c r="G209" s="7" t="s">
        <v>277</v>
      </c>
      <c r="H209" s="7" t="s">
        <v>278</v>
      </c>
      <c r="I209" s="19">
        <v>15</v>
      </c>
      <c r="J209" s="7" t="s">
        <v>24</v>
      </c>
    </row>
    <row r="210" spans="3:10" x14ac:dyDescent="0.25">
      <c r="C210" s="7">
        <v>207</v>
      </c>
      <c r="D210" s="18">
        <v>45867</v>
      </c>
      <c r="E210" s="7" t="s">
        <v>26</v>
      </c>
      <c r="F210" s="7" t="s">
        <v>18</v>
      </c>
      <c r="G210" s="7" t="s">
        <v>104</v>
      </c>
      <c r="H210" s="7" t="s">
        <v>279</v>
      </c>
      <c r="I210" s="19">
        <v>45</v>
      </c>
      <c r="J210" s="7" t="s">
        <v>24</v>
      </c>
    </row>
    <row r="211" spans="3:10" x14ac:dyDescent="0.25">
      <c r="C211" s="7">
        <v>208</v>
      </c>
      <c r="D211" s="18">
        <v>45867</v>
      </c>
      <c r="E211" s="7" t="s">
        <v>17</v>
      </c>
      <c r="F211" s="7" t="s">
        <v>20</v>
      </c>
      <c r="G211" s="7" t="s">
        <v>280</v>
      </c>
      <c r="H211" s="7" t="s">
        <v>281</v>
      </c>
      <c r="I211" s="19">
        <v>20</v>
      </c>
      <c r="J211" s="7" t="s">
        <v>24</v>
      </c>
    </row>
    <row r="212" spans="3:10" x14ac:dyDescent="0.25">
      <c r="C212" s="7">
        <v>209</v>
      </c>
      <c r="D212" s="18">
        <v>45867</v>
      </c>
      <c r="E212" s="7" t="s">
        <v>17</v>
      </c>
      <c r="F212" s="7" t="s">
        <v>18</v>
      </c>
      <c r="G212" s="7" t="s">
        <v>282</v>
      </c>
      <c r="H212" s="7" t="s">
        <v>283</v>
      </c>
      <c r="I212" s="19">
        <v>25</v>
      </c>
      <c r="J212" s="7" t="s">
        <v>24</v>
      </c>
    </row>
    <row r="213" spans="3:10" x14ac:dyDescent="0.25">
      <c r="C213" s="7">
        <v>210</v>
      </c>
      <c r="D213" s="18">
        <v>45868</v>
      </c>
      <c r="E213" s="7" t="s">
        <v>17</v>
      </c>
      <c r="F213" s="7" t="s">
        <v>20</v>
      </c>
      <c r="G213" s="7" t="s">
        <v>284</v>
      </c>
      <c r="H213" s="7" t="s">
        <v>285</v>
      </c>
      <c r="I213" s="19">
        <v>20</v>
      </c>
      <c r="J213" s="7" t="s">
        <v>25</v>
      </c>
    </row>
    <row r="214" spans="3:10" x14ac:dyDescent="0.25">
      <c r="C214" s="7">
        <v>211</v>
      </c>
      <c r="D214" s="18">
        <v>45868</v>
      </c>
      <c r="E214" s="7" t="s">
        <v>17</v>
      </c>
      <c r="F214" s="7" t="s">
        <v>18</v>
      </c>
      <c r="G214" s="7" t="s">
        <v>148</v>
      </c>
      <c r="H214" s="7" t="s">
        <v>77</v>
      </c>
      <c r="I214" s="19">
        <v>25</v>
      </c>
      <c r="J214" s="7" t="s">
        <v>24</v>
      </c>
    </row>
    <row r="215" spans="3:10" x14ac:dyDescent="0.25">
      <c r="C215" s="7">
        <v>212</v>
      </c>
      <c r="D215" s="18">
        <v>45868</v>
      </c>
      <c r="E215" s="7" t="s">
        <v>17</v>
      </c>
      <c r="F215" s="7" t="s">
        <v>20</v>
      </c>
      <c r="G215" s="7" t="s">
        <v>286</v>
      </c>
      <c r="H215" s="7" t="s">
        <v>287</v>
      </c>
      <c r="I215" s="19">
        <v>20</v>
      </c>
      <c r="J215" s="7" t="s">
        <v>25</v>
      </c>
    </row>
    <row r="216" spans="3:10" x14ac:dyDescent="0.25">
      <c r="C216" s="7">
        <v>213</v>
      </c>
      <c r="D216" s="18">
        <v>45868</v>
      </c>
      <c r="E216" s="29" t="s">
        <v>288</v>
      </c>
      <c r="F216" s="30"/>
      <c r="G216" s="30"/>
      <c r="H216" s="31"/>
      <c r="I216" s="19">
        <v>79</v>
      </c>
      <c r="J216" s="7" t="s">
        <v>184</v>
      </c>
    </row>
    <row r="217" spans="3:10" x14ac:dyDescent="0.25">
      <c r="C217" s="7">
        <v>214</v>
      </c>
      <c r="D217" s="18">
        <v>45868</v>
      </c>
      <c r="E217" s="7" t="s">
        <v>17</v>
      </c>
      <c r="F217" s="7" t="s">
        <v>20</v>
      </c>
      <c r="G217" s="7" t="s">
        <v>289</v>
      </c>
      <c r="H217" s="7" t="s">
        <v>290</v>
      </c>
      <c r="I217" s="19">
        <v>35</v>
      </c>
      <c r="J217" s="7" t="s">
        <v>25</v>
      </c>
    </row>
    <row r="218" spans="3:10" x14ac:dyDescent="0.25">
      <c r="C218" s="7">
        <v>215</v>
      </c>
      <c r="D218" s="18">
        <v>45869</v>
      </c>
      <c r="E218" s="7" t="s">
        <v>17</v>
      </c>
      <c r="F218" s="7" t="s">
        <v>18</v>
      </c>
      <c r="G218" s="7"/>
      <c r="H218" s="7" t="s">
        <v>204</v>
      </c>
      <c r="I218" s="19">
        <v>25</v>
      </c>
      <c r="J218" s="7" t="s">
        <v>25</v>
      </c>
    </row>
    <row r="219" spans="3:10" x14ac:dyDescent="0.25">
      <c r="C219" s="7">
        <v>216</v>
      </c>
      <c r="D219" s="18">
        <v>45869</v>
      </c>
      <c r="E219" s="7" t="s">
        <v>17</v>
      </c>
      <c r="F219" s="7" t="s">
        <v>18</v>
      </c>
      <c r="G219" s="7" t="s">
        <v>225</v>
      </c>
      <c r="H219" s="7" t="s">
        <v>230</v>
      </c>
      <c r="I219" s="19">
        <v>35</v>
      </c>
      <c r="J219" s="7" t="s">
        <v>24</v>
      </c>
    </row>
    <row r="220" spans="3:10" x14ac:dyDescent="0.25">
      <c r="C220" s="7">
        <v>217</v>
      </c>
      <c r="D220" s="18">
        <v>45869</v>
      </c>
      <c r="E220" s="29" t="s">
        <v>291</v>
      </c>
      <c r="F220" s="30"/>
      <c r="G220" s="30"/>
      <c r="H220" s="31"/>
      <c r="I220" s="19">
        <v>230</v>
      </c>
      <c r="J220" s="7" t="s">
        <v>25</v>
      </c>
    </row>
    <row r="221" spans="3:10" x14ac:dyDescent="0.25">
      <c r="C221" s="7">
        <v>218</v>
      </c>
      <c r="D221" s="18">
        <v>45869</v>
      </c>
      <c r="E221" s="7" t="s">
        <v>17</v>
      </c>
      <c r="F221" s="7" t="s">
        <v>18</v>
      </c>
      <c r="G221" s="7" t="s">
        <v>98</v>
      </c>
      <c r="H221" s="7" t="s">
        <v>134</v>
      </c>
      <c r="I221" s="19">
        <v>20</v>
      </c>
      <c r="J221" s="7" t="s">
        <v>25</v>
      </c>
    </row>
    <row r="222" spans="3:10" x14ac:dyDescent="0.25">
      <c r="C222" s="7">
        <v>219</v>
      </c>
      <c r="D222" s="18">
        <v>45869</v>
      </c>
      <c r="E222" s="7" t="s">
        <v>26</v>
      </c>
      <c r="F222" s="7" t="s">
        <v>20</v>
      </c>
      <c r="G222" s="7" t="s">
        <v>292</v>
      </c>
      <c r="H222" s="7" t="s">
        <v>293</v>
      </c>
      <c r="I222" s="19">
        <v>45</v>
      </c>
      <c r="J222" s="7" t="s">
        <v>25</v>
      </c>
    </row>
    <row r="223" spans="3:10" x14ac:dyDescent="0.25">
      <c r="C223" s="7">
        <v>220</v>
      </c>
      <c r="D223" s="18">
        <v>45869</v>
      </c>
      <c r="E223" s="7" t="s">
        <v>26</v>
      </c>
      <c r="F223" s="7" t="s">
        <v>20</v>
      </c>
      <c r="G223" s="7" t="s">
        <v>150</v>
      </c>
      <c r="H223" s="7" t="s">
        <v>294</v>
      </c>
      <c r="I223" s="19">
        <v>45</v>
      </c>
      <c r="J223" s="7" t="s">
        <v>24</v>
      </c>
    </row>
    <row r="224" spans="3:10" x14ac:dyDescent="0.25">
      <c r="C224" s="7">
        <v>221</v>
      </c>
      <c r="D224" s="18">
        <v>45869</v>
      </c>
      <c r="E224" s="7" t="s">
        <v>17</v>
      </c>
      <c r="F224" s="7" t="s">
        <v>18</v>
      </c>
      <c r="G224" s="7" t="s">
        <v>295</v>
      </c>
      <c r="H224" s="7" t="s">
        <v>296</v>
      </c>
      <c r="I224" s="19">
        <v>35</v>
      </c>
      <c r="J224" s="7" t="s">
        <v>25</v>
      </c>
    </row>
    <row r="225" spans="3:10" x14ac:dyDescent="0.25">
      <c r="C225" s="7">
        <v>222</v>
      </c>
      <c r="D225" s="18">
        <v>45869</v>
      </c>
      <c r="E225" s="7" t="s">
        <v>17</v>
      </c>
      <c r="F225" s="7" t="s">
        <v>20</v>
      </c>
      <c r="G225" s="7" t="s">
        <v>297</v>
      </c>
      <c r="H225" s="7" t="s">
        <v>298</v>
      </c>
      <c r="I225" s="19">
        <v>30</v>
      </c>
      <c r="J225" s="7" t="s">
        <v>24</v>
      </c>
    </row>
    <row r="226" spans="3:10" x14ac:dyDescent="0.25">
      <c r="C226" s="7">
        <v>223</v>
      </c>
      <c r="D226" s="18">
        <v>45869</v>
      </c>
      <c r="E226" s="7" t="s">
        <v>17</v>
      </c>
      <c r="F226" s="7" t="s">
        <v>18</v>
      </c>
      <c r="G226" s="7"/>
      <c r="H226" s="7" t="s">
        <v>299</v>
      </c>
      <c r="I226" s="19">
        <v>15</v>
      </c>
      <c r="J226" s="7" t="s">
        <v>24</v>
      </c>
    </row>
    <row r="227" spans="3:10" x14ac:dyDescent="0.25">
      <c r="C227" s="7">
        <v>224</v>
      </c>
      <c r="D227" s="18">
        <v>45869</v>
      </c>
      <c r="E227" s="7" t="s">
        <v>17</v>
      </c>
      <c r="F227" s="7" t="s">
        <v>39</v>
      </c>
      <c r="G227" s="7"/>
      <c r="H227" s="7" t="s">
        <v>32</v>
      </c>
      <c r="I227" s="19">
        <v>12</v>
      </c>
      <c r="J227" s="7" t="s">
        <v>24</v>
      </c>
    </row>
    <row r="228" spans="3:10" x14ac:dyDescent="0.25">
      <c r="C228" s="7">
        <v>225</v>
      </c>
      <c r="D228" s="18">
        <v>45869</v>
      </c>
      <c r="E228" s="7" t="s">
        <v>17</v>
      </c>
      <c r="F228" s="7" t="s">
        <v>21</v>
      </c>
      <c r="G228" s="7"/>
      <c r="H228" s="7" t="s">
        <v>300</v>
      </c>
      <c r="I228" s="19">
        <v>10</v>
      </c>
      <c r="J228" s="7" t="s">
        <v>25</v>
      </c>
    </row>
    <row r="229" spans="3:10" x14ac:dyDescent="0.25">
      <c r="C229" s="7">
        <v>226</v>
      </c>
      <c r="D229" s="18">
        <v>45869</v>
      </c>
      <c r="E229" s="7" t="s">
        <v>17</v>
      </c>
      <c r="F229" s="7" t="s">
        <v>20</v>
      </c>
      <c r="G229" s="7" t="s">
        <v>301</v>
      </c>
      <c r="H229" s="7" t="s">
        <v>302</v>
      </c>
      <c r="I229" s="19">
        <v>20</v>
      </c>
      <c r="J229" s="7" t="s">
        <v>25</v>
      </c>
    </row>
    <row r="230" spans="3:10" x14ac:dyDescent="0.25">
      <c r="C230" s="7">
        <v>227</v>
      </c>
      <c r="D230" s="18">
        <v>45869</v>
      </c>
      <c r="E230" s="7" t="s">
        <v>17</v>
      </c>
      <c r="F230" s="7" t="s">
        <v>20</v>
      </c>
      <c r="G230" s="7"/>
      <c r="H230" s="7" t="s">
        <v>220</v>
      </c>
      <c r="I230" s="19">
        <v>15</v>
      </c>
      <c r="J230" s="7" t="s">
        <v>25</v>
      </c>
    </row>
    <row r="231" spans="3:10" x14ac:dyDescent="0.25">
      <c r="C231" s="7">
        <v>228</v>
      </c>
      <c r="D231" s="18">
        <v>45869</v>
      </c>
      <c r="E231" s="7" t="s">
        <v>19</v>
      </c>
      <c r="F231" s="7" t="s">
        <v>227</v>
      </c>
      <c r="G231" s="7"/>
      <c r="H231" s="7" t="s">
        <v>303</v>
      </c>
      <c r="I231" s="19">
        <v>10</v>
      </c>
      <c r="J231" s="7" t="s">
        <v>24</v>
      </c>
    </row>
    <row r="232" spans="3:10" x14ac:dyDescent="0.25">
      <c r="C232" s="7">
        <v>229</v>
      </c>
      <c r="D232" s="18">
        <v>45869</v>
      </c>
      <c r="E232" s="7" t="s">
        <v>26</v>
      </c>
      <c r="F232" s="7" t="s">
        <v>18</v>
      </c>
      <c r="G232" s="7" t="s">
        <v>304</v>
      </c>
      <c r="H232" s="7" t="s">
        <v>305</v>
      </c>
      <c r="I232" s="19">
        <v>40</v>
      </c>
      <c r="J232" s="7" t="s">
        <v>24</v>
      </c>
    </row>
    <row r="233" spans="3:10" x14ac:dyDescent="0.25">
      <c r="I233" s="44">
        <f>SUM(I4:I232)</f>
        <v>6564</v>
      </c>
    </row>
  </sheetData>
  <mergeCells count="2">
    <mergeCell ref="E216:H216"/>
    <mergeCell ref="E220:H2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A38C-A920-4F62-B8FC-A3B23551FDE6}">
  <dimension ref="A3:O72"/>
  <sheetViews>
    <sheetView tabSelected="1" topLeftCell="A46" workbookViewId="0">
      <selection activeCell="G75" sqref="G75"/>
    </sheetView>
  </sheetViews>
  <sheetFormatPr baseColWidth="10" defaultRowHeight="15" x14ac:dyDescent="0.25"/>
  <cols>
    <col min="11" max="11" width="17.140625" customWidth="1"/>
  </cols>
  <sheetData>
    <row r="3" spans="1:15" x14ac:dyDescent="0.25">
      <c r="B3" s="39">
        <v>45839</v>
      </c>
      <c r="C3" s="39"/>
      <c r="D3" s="39">
        <v>45840</v>
      </c>
      <c r="E3" s="39"/>
      <c r="F3" s="39">
        <v>45841</v>
      </c>
      <c r="G3" s="39"/>
      <c r="H3" s="39">
        <v>45842</v>
      </c>
      <c r="I3" s="39"/>
      <c r="J3" s="39">
        <v>45843</v>
      </c>
      <c r="K3" s="39"/>
      <c r="L3" s="39">
        <v>45844</v>
      </c>
      <c r="M3" s="39"/>
      <c r="N3" s="39">
        <v>45845</v>
      </c>
      <c r="O3" s="39"/>
    </row>
    <row r="4" spans="1:15" x14ac:dyDescent="0.25">
      <c r="A4" s="32" t="s">
        <v>37</v>
      </c>
      <c r="B4" s="14" t="s">
        <v>24</v>
      </c>
      <c r="C4" s="7">
        <v>53</v>
      </c>
      <c r="D4" s="14" t="s">
        <v>24</v>
      </c>
      <c r="E4" s="7">
        <v>45</v>
      </c>
      <c r="F4" s="14" t="s">
        <v>24</v>
      </c>
      <c r="G4" s="7">
        <v>149</v>
      </c>
      <c r="H4" s="14" t="s">
        <v>24</v>
      </c>
      <c r="I4" s="7">
        <v>44</v>
      </c>
      <c r="J4" s="14" t="s">
        <v>24</v>
      </c>
      <c r="K4" s="7">
        <v>95</v>
      </c>
      <c r="L4" s="14" t="s">
        <v>24</v>
      </c>
      <c r="M4" s="7">
        <v>174</v>
      </c>
      <c r="N4" s="14" t="s">
        <v>24</v>
      </c>
      <c r="O4" s="7">
        <v>170</v>
      </c>
    </row>
    <row r="5" spans="1:15" x14ac:dyDescent="0.25">
      <c r="A5" s="33"/>
      <c r="B5" s="14" t="s">
        <v>25</v>
      </c>
      <c r="C5" s="7">
        <v>65</v>
      </c>
      <c r="D5" s="14" t="s">
        <v>25</v>
      </c>
      <c r="E5" s="7">
        <v>154</v>
      </c>
      <c r="F5" s="14" t="s">
        <v>25</v>
      </c>
      <c r="G5" s="7">
        <v>35</v>
      </c>
      <c r="H5" s="14" t="s">
        <v>25</v>
      </c>
      <c r="I5" s="7">
        <v>295</v>
      </c>
      <c r="J5" s="14" t="s">
        <v>25</v>
      </c>
      <c r="K5" s="7">
        <v>34</v>
      </c>
      <c r="L5" s="14" t="s">
        <v>25</v>
      </c>
      <c r="M5" s="7">
        <v>100</v>
      </c>
      <c r="N5" s="14" t="s">
        <v>25</v>
      </c>
      <c r="O5" s="7">
        <v>178</v>
      </c>
    </row>
    <row r="6" spans="1:15" x14ac:dyDescent="0.25">
      <c r="A6" s="34"/>
      <c r="B6" s="14" t="s">
        <v>0</v>
      </c>
      <c r="C6" s="7">
        <f>SUM(C4:C5)</f>
        <v>118</v>
      </c>
      <c r="D6" s="14" t="s">
        <v>0</v>
      </c>
      <c r="E6" s="7">
        <f>SUM(E4:E5)</f>
        <v>199</v>
      </c>
      <c r="F6" s="14" t="s">
        <v>0</v>
      </c>
      <c r="G6" s="7">
        <f>SUM(G4:G5)</f>
        <v>184</v>
      </c>
      <c r="H6" s="14" t="s">
        <v>0</v>
      </c>
      <c r="I6" s="7">
        <f>SUM(I4:I5)</f>
        <v>339</v>
      </c>
      <c r="J6" s="14" t="s">
        <v>0</v>
      </c>
      <c r="K6" s="7">
        <f>SUM(K4:K5)</f>
        <v>129</v>
      </c>
      <c r="L6" s="14" t="s">
        <v>0</v>
      </c>
      <c r="M6" s="7">
        <f>SUM(M4:M5)</f>
        <v>274</v>
      </c>
      <c r="N6" s="14" t="s">
        <v>0</v>
      </c>
      <c r="O6" s="7">
        <f>SUM(O4:O5)</f>
        <v>348</v>
      </c>
    </row>
    <row r="7" spans="1:15" x14ac:dyDescent="0.25">
      <c r="A7" s="15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 x14ac:dyDescent="0.25">
      <c r="A8" s="35" t="s">
        <v>23</v>
      </c>
      <c r="B8" s="14" t="s">
        <v>36</v>
      </c>
      <c r="C8" s="7">
        <v>20</v>
      </c>
      <c r="D8" s="14" t="s">
        <v>36</v>
      </c>
      <c r="E8" s="7">
        <v>20</v>
      </c>
      <c r="F8" s="14" t="s">
        <v>36</v>
      </c>
      <c r="G8" s="7">
        <v>20</v>
      </c>
      <c r="H8" s="14" t="s">
        <v>36</v>
      </c>
      <c r="I8" s="7">
        <v>20</v>
      </c>
      <c r="J8" s="14" t="s">
        <v>36</v>
      </c>
      <c r="K8" s="7">
        <v>30</v>
      </c>
      <c r="L8" s="14" t="s">
        <v>36</v>
      </c>
      <c r="M8" s="7">
        <v>30</v>
      </c>
      <c r="N8" s="14" t="s">
        <v>36</v>
      </c>
      <c r="O8" s="7">
        <v>30</v>
      </c>
    </row>
    <row r="9" spans="1:15" x14ac:dyDescent="0.25">
      <c r="A9" s="36"/>
      <c r="B9" s="14" t="s">
        <v>35</v>
      </c>
      <c r="C9" s="7">
        <v>85</v>
      </c>
      <c r="D9" s="14" t="s">
        <v>35</v>
      </c>
      <c r="E9" s="7">
        <v>85</v>
      </c>
      <c r="F9" s="14" t="s">
        <v>35</v>
      </c>
      <c r="G9" s="7">
        <v>85</v>
      </c>
      <c r="H9" s="14" t="s">
        <v>35</v>
      </c>
      <c r="I9" s="7">
        <v>85</v>
      </c>
      <c r="J9" s="14" t="s">
        <v>35</v>
      </c>
      <c r="K9" s="7">
        <v>125</v>
      </c>
      <c r="L9" s="14" t="s">
        <v>35</v>
      </c>
      <c r="M9" s="7">
        <v>125</v>
      </c>
      <c r="N9" s="14" t="s">
        <v>35</v>
      </c>
      <c r="O9" s="7">
        <v>85</v>
      </c>
    </row>
    <row r="10" spans="1:15" x14ac:dyDescent="0.25">
      <c r="A10" s="37"/>
      <c r="B10" s="14" t="s">
        <v>0</v>
      </c>
      <c r="C10" s="7">
        <f>SUM(C8:C9)</f>
        <v>105</v>
      </c>
      <c r="D10" s="14" t="s">
        <v>0</v>
      </c>
      <c r="E10" s="7">
        <f>SUM(E8:E9)</f>
        <v>105</v>
      </c>
      <c r="F10" s="14" t="s">
        <v>0</v>
      </c>
      <c r="G10" s="7">
        <f>SUM(G8:G9)</f>
        <v>105</v>
      </c>
      <c r="H10" s="14" t="s">
        <v>0</v>
      </c>
      <c r="I10" s="7">
        <f>SUM(I8:I9)</f>
        <v>105</v>
      </c>
      <c r="J10" s="14" t="s">
        <v>0</v>
      </c>
      <c r="K10" s="7">
        <f>SUM(K8:K9)</f>
        <v>155</v>
      </c>
      <c r="L10" s="14" t="s">
        <v>0</v>
      </c>
      <c r="M10" s="7">
        <f>SUM(M8:M9)</f>
        <v>155</v>
      </c>
      <c r="N10" s="14" t="s">
        <v>0</v>
      </c>
      <c r="O10" s="7">
        <f>SUM(O8:O9)</f>
        <v>115</v>
      </c>
    </row>
    <row r="11" spans="1:15" x14ac:dyDescent="0.25">
      <c r="B11" s="2"/>
      <c r="C11" s="16">
        <f>C6-C10</f>
        <v>13</v>
      </c>
      <c r="D11" s="2"/>
      <c r="E11" s="16">
        <f>E6-E10</f>
        <v>94</v>
      </c>
      <c r="F11" s="2"/>
      <c r="G11" s="16">
        <f>G6-G10</f>
        <v>79</v>
      </c>
      <c r="H11" s="2"/>
      <c r="I11" s="16">
        <f>I6-I10</f>
        <v>234</v>
      </c>
      <c r="J11" s="2"/>
      <c r="K11" s="17">
        <f>K6-K10</f>
        <v>-26</v>
      </c>
      <c r="L11" s="2"/>
      <c r="M11" s="16">
        <f>M6-M10</f>
        <v>119</v>
      </c>
      <c r="N11" s="2"/>
      <c r="O11" s="16">
        <f>O6-O10</f>
        <v>233</v>
      </c>
    </row>
    <row r="14" spans="1:15" x14ac:dyDescent="0.25">
      <c r="B14" s="39">
        <v>45846</v>
      </c>
      <c r="C14" s="39"/>
      <c r="D14" s="39">
        <v>45847</v>
      </c>
      <c r="E14" s="39"/>
      <c r="F14" s="39">
        <v>45848</v>
      </c>
      <c r="G14" s="39"/>
      <c r="H14" s="39">
        <v>45849</v>
      </c>
      <c r="I14" s="39"/>
      <c r="J14" s="39">
        <v>45850</v>
      </c>
      <c r="K14" s="39"/>
      <c r="L14" s="39">
        <v>45851</v>
      </c>
      <c r="M14" s="39"/>
      <c r="N14" s="39">
        <v>45852</v>
      </c>
      <c r="O14" s="39"/>
    </row>
    <row r="15" spans="1:15" x14ac:dyDescent="0.25">
      <c r="A15" s="32" t="s">
        <v>37</v>
      </c>
      <c r="B15" s="14" t="s">
        <v>24</v>
      </c>
      <c r="C15" s="7">
        <v>140</v>
      </c>
      <c r="D15" s="14" t="s">
        <v>24</v>
      </c>
      <c r="E15" s="7">
        <v>31</v>
      </c>
      <c r="F15" s="14" t="s">
        <v>24</v>
      </c>
      <c r="G15" s="7">
        <v>50</v>
      </c>
      <c r="H15" s="14" t="s">
        <v>24</v>
      </c>
      <c r="I15" s="7">
        <v>130</v>
      </c>
      <c r="J15" s="14" t="s">
        <v>24</v>
      </c>
      <c r="K15" s="7">
        <v>90</v>
      </c>
      <c r="L15" s="14" t="s">
        <v>24</v>
      </c>
      <c r="M15" s="7">
        <v>105</v>
      </c>
      <c r="N15" s="14" t="s">
        <v>24</v>
      </c>
      <c r="O15" s="7">
        <v>30</v>
      </c>
    </row>
    <row r="16" spans="1:15" x14ac:dyDescent="0.25">
      <c r="A16" s="33"/>
      <c r="B16" s="14" t="s">
        <v>25</v>
      </c>
      <c r="C16" s="7">
        <v>20</v>
      </c>
      <c r="D16" s="14" t="s">
        <v>25</v>
      </c>
      <c r="E16" s="7">
        <v>51</v>
      </c>
      <c r="F16" s="14" t="s">
        <v>25</v>
      </c>
      <c r="G16" s="7">
        <v>25</v>
      </c>
      <c r="H16" s="14" t="s">
        <v>25</v>
      </c>
      <c r="I16" s="7">
        <v>157</v>
      </c>
      <c r="J16" s="14" t="s">
        <v>25</v>
      </c>
      <c r="K16" s="7">
        <v>247</v>
      </c>
      <c r="L16" s="14" t="s">
        <v>25</v>
      </c>
      <c r="M16" s="7">
        <v>140</v>
      </c>
      <c r="N16" s="14" t="s">
        <v>25</v>
      </c>
      <c r="O16" s="7">
        <v>57</v>
      </c>
    </row>
    <row r="17" spans="1:15" x14ac:dyDescent="0.25">
      <c r="A17" s="34"/>
      <c r="B17" s="14" t="s">
        <v>0</v>
      </c>
      <c r="C17" s="7">
        <f>SUM(C15:C16)</f>
        <v>160</v>
      </c>
      <c r="D17" s="14" t="s">
        <v>0</v>
      </c>
      <c r="E17" s="7">
        <f>SUM(E15:E16)</f>
        <v>82</v>
      </c>
      <c r="F17" s="14" t="s">
        <v>0</v>
      </c>
      <c r="G17" s="7">
        <f>SUM(G15:G16)</f>
        <v>75</v>
      </c>
      <c r="H17" s="14" t="s">
        <v>0</v>
      </c>
      <c r="I17" s="7">
        <f>SUM(I15:I16)</f>
        <v>287</v>
      </c>
      <c r="J17" s="14" t="s">
        <v>0</v>
      </c>
      <c r="K17" s="7">
        <f>SUM(K15:K16)</f>
        <v>337</v>
      </c>
      <c r="L17" s="14" t="s">
        <v>0</v>
      </c>
      <c r="M17" s="7">
        <f>SUM(M15:M16)</f>
        <v>245</v>
      </c>
      <c r="N17" s="14" t="s">
        <v>0</v>
      </c>
      <c r="O17" s="7">
        <f>SUM(O15:O16)</f>
        <v>87</v>
      </c>
    </row>
    <row r="18" spans="1:15" x14ac:dyDescent="0.25">
      <c r="A18" s="15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</row>
    <row r="19" spans="1:15" x14ac:dyDescent="0.25">
      <c r="A19" s="35" t="s">
        <v>23</v>
      </c>
      <c r="B19" s="14" t="s">
        <v>36</v>
      </c>
      <c r="C19" s="7">
        <v>20</v>
      </c>
      <c r="D19" s="14" t="s">
        <v>36</v>
      </c>
      <c r="E19" s="7">
        <v>20</v>
      </c>
      <c r="F19" s="14" t="s">
        <v>36</v>
      </c>
      <c r="G19" s="7">
        <v>20</v>
      </c>
      <c r="H19" s="14" t="s">
        <v>36</v>
      </c>
      <c r="I19" s="7">
        <v>30</v>
      </c>
      <c r="J19" s="14" t="s">
        <v>36</v>
      </c>
      <c r="K19" s="7">
        <v>30</v>
      </c>
      <c r="L19" s="14" t="s">
        <v>36</v>
      </c>
      <c r="M19" s="7">
        <v>30</v>
      </c>
      <c r="N19" s="14" t="s">
        <v>36</v>
      </c>
      <c r="O19" s="7">
        <v>20</v>
      </c>
    </row>
    <row r="20" spans="1:15" x14ac:dyDescent="0.25">
      <c r="A20" s="36"/>
      <c r="B20" s="14" t="s">
        <v>35</v>
      </c>
      <c r="C20" s="7">
        <v>85</v>
      </c>
      <c r="D20" s="14" t="s">
        <v>35</v>
      </c>
      <c r="E20" s="7">
        <v>85</v>
      </c>
      <c r="F20" s="14" t="s">
        <v>35</v>
      </c>
      <c r="G20" s="7">
        <v>85</v>
      </c>
      <c r="H20" s="14" t="s">
        <v>35</v>
      </c>
      <c r="I20" s="7">
        <v>85</v>
      </c>
      <c r="J20" s="14" t="s">
        <v>35</v>
      </c>
      <c r="K20" s="7">
        <v>125</v>
      </c>
      <c r="L20" s="14" t="s">
        <v>35</v>
      </c>
      <c r="M20" s="7">
        <v>125</v>
      </c>
      <c r="N20" s="14" t="s">
        <v>35</v>
      </c>
      <c r="O20" s="7">
        <v>125</v>
      </c>
    </row>
    <row r="21" spans="1:15" x14ac:dyDescent="0.25">
      <c r="A21" s="37"/>
      <c r="B21" s="14" t="s">
        <v>0</v>
      </c>
      <c r="C21" s="7">
        <f>SUM(C19:C20)</f>
        <v>105</v>
      </c>
      <c r="D21" s="14" t="s">
        <v>0</v>
      </c>
      <c r="E21" s="7">
        <f>SUM(E19:E20)</f>
        <v>105</v>
      </c>
      <c r="F21" s="14" t="s">
        <v>0</v>
      </c>
      <c r="G21" s="7">
        <f>SUM(G19:G20)</f>
        <v>105</v>
      </c>
      <c r="H21" s="14" t="s">
        <v>0</v>
      </c>
      <c r="I21" s="7">
        <f>SUM(I19:I20)</f>
        <v>115</v>
      </c>
      <c r="J21" s="14" t="s">
        <v>0</v>
      </c>
      <c r="K21" s="7">
        <f>SUM(K19:K20)</f>
        <v>155</v>
      </c>
      <c r="L21" s="14" t="s">
        <v>0</v>
      </c>
      <c r="M21" s="7">
        <f>SUM(M19:M20)</f>
        <v>155</v>
      </c>
      <c r="N21" s="14" t="s">
        <v>0</v>
      </c>
      <c r="O21" s="7">
        <f>SUM(O19:O20)</f>
        <v>145</v>
      </c>
    </row>
    <row r="22" spans="1:15" x14ac:dyDescent="0.25">
      <c r="B22" s="8"/>
      <c r="C22" s="16">
        <f>C17-C21</f>
        <v>55</v>
      </c>
      <c r="D22" s="8"/>
      <c r="E22" s="17">
        <f>E17-E21</f>
        <v>-23</v>
      </c>
      <c r="F22" s="8"/>
      <c r="G22" s="17">
        <f>G17-G21</f>
        <v>-30</v>
      </c>
      <c r="H22" s="8"/>
      <c r="I22" s="16">
        <f>I17-I21</f>
        <v>172</v>
      </c>
      <c r="J22" s="8"/>
      <c r="K22" s="16">
        <f>K17-K21</f>
        <v>182</v>
      </c>
      <c r="L22" s="8"/>
      <c r="M22" s="16">
        <f>M17-M21</f>
        <v>90</v>
      </c>
      <c r="N22" s="8"/>
      <c r="O22" s="17">
        <f>O17-O21</f>
        <v>-58</v>
      </c>
    </row>
    <row r="25" spans="1:15" x14ac:dyDescent="0.25">
      <c r="B25" s="39">
        <v>45853</v>
      </c>
      <c r="C25" s="39"/>
      <c r="D25" s="39">
        <v>45854</v>
      </c>
      <c r="E25" s="39"/>
      <c r="F25" s="39">
        <v>45855</v>
      </c>
      <c r="G25" s="39"/>
      <c r="H25" s="39">
        <v>45856</v>
      </c>
      <c r="I25" s="39"/>
      <c r="J25" s="39">
        <v>45857</v>
      </c>
      <c r="K25" s="39"/>
      <c r="L25" s="39">
        <v>45858</v>
      </c>
      <c r="M25" s="39"/>
      <c r="N25" s="39">
        <v>45859</v>
      </c>
      <c r="O25" s="39"/>
    </row>
    <row r="26" spans="1:15" x14ac:dyDescent="0.25">
      <c r="A26" s="32" t="s">
        <v>37</v>
      </c>
      <c r="B26" s="14" t="s">
        <v>24</v>
      </c>
      <c r="C26" s="7">
        <v>97</v>
      </c>
      <c r="D26" s="14" t="s">
        <v>24</v>
      </c>
      <c r="E26" s="7">
        <v>50</v>
      </c>
      <c r="F26" s="14" t="s">
        <v>24</v>
      </c>
      <c r="G26" s="7">
        <v>115</v>
      </c>
      <c r="H26" s="14" t="s">
        <v>24</v>
      </c>
      <c r="I26" s="7">
        <v>60</v>
      </c>
      <c r="J26" s="14" t="s">
        <v>24</v>
      </c>
      <c r="K26" s="7">
        <v>172</v>
      </c>
      <c r="L26" s="14" t="s">
        <v>24</v>
      </c>
      <c r="M26" s="7">
        <v>30</v>
      </c>
      <c r="N26" s="14" t="s">
        <v>24</v>
      </c>
      <c r="O26" s="7">
        <v>75</v>
      </c>
    </row>
    <row r="27" spans="1:15" x14ac:dyDescent="0.25">
      <c r="A27" s="33"/>
      <c r="B27" s="14" t="s">
        <v>25</v>
      </c>
      <c r="C27" s="7">
        <v>10</v>
      </c>
      <c r="D27" s="14" t="s">
        <v>25</v>
      </c>
      <c r="E27" s="7">
        <v>35</v>
      </c>
      <c r="F27" s="14" t="s">
        <v>25</v>
      </c>
      <c r="G27" s="7">
        <v>108</v>
      </c>
      <c r="H27" s="14" t="s">
        <v>25</v>
      </c>
      <c r="I27" s="7">
        <v>86</v>
      </c>
      <c r="J27" s="14" t="s">
        <v>25</v>
      </c>
      <c r="K27" s="7">
        <v>182</v>
      </c>
      <c r="L27" s="14" t="s">
        <v>25</v>
      </c>
      <c r="M27" s="7">
        <v>170</v>
      </c>
      <c r="N27" s="14" t="s">
        <v>25</v>
      </c>
      <c r="O27" s="7">
        <v>97</v>
      </c>
    </row>
    <row r="28" spans="1:15" x14ac:dyDescent="0.25">
      <c r="A28" s="34"/>
      <c r="B28" s="14" t="s">
        <v>0</v>
      </c>
      <c r="C28" s="7">
        <f>SUM(C26:C27)</f>
        <v>107</v>
      </c>
      <c r="D28" s="14" t="s">
        <v>0</v>
      </c>
      <c r="E28" s="7">
        <f>SUM(E26:E27)</f>
        <v>85</v>
      </c>
      <c r="F28" s="14" t="s">
        <v>0</v>
      </c>
      <c r="G28" s="7">
        <f>SUM(G26:G27)</f>
        <v>223</v>
      </c>
      <c r="H28" s="14" t="s">
        <v>0</v>
      </c>
      <c r="I28" s="7">
        <f>SUM(I26:I27)</f>
        <v>146</v>
      </c>
      <c r="J28" s="14" t="s">
        <v>0</v>
      </c>
      <c r="K28" s="7">
        <f>SUM(K26:K27)</f>
        <v>354</v>
      </c>
      <c r="L28" s="14" t="s">
        <v>0</v>
      </c>
      <c r="M28" s="7">
        <f>SUM(M26:M27)</f>
        <v>200</v>
      </c>
      <c r="N28" s="14" t="s">
        <v>0</v>
      </c>
      <c r="O28" s="7">
        <f>SUM(O26:O27)</f>
        <v>172</v>
      </c>
    </row>
    <row r="29" spans="1:15" x14ac:dyDescent="0.25">
      <c r="A29" s="15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</row>
    <row r="30" spans="1:15" x14ac:dyDescent="0.25">
      <c r="A30" s="35" t="s">
        <v>23</v>
      </c>
      <c r="B30" s="14" t="s">
        <v>36</v>
      </c>
      <c r="C30" s="7">
        <v>20</v>
      </c>
      <c r="D30" s="14" t="s">
        <v>36</v>
      </c>
      <c r="E30" s="7">
        <v>20</v>
      </c>
      <c r="F30" s="14" t="s">
        <v>36</v>
      </c>
      <c r="G30" s="7">
        <v>30</v>
      </c>
      <c r="H30" s="14" t="s">
        <v>36</v>
      </c>
      <c r="I30" s="7">
        <v>20</v>
      </c>
      <c r="J30" s="14" t="s">
        <v>36</v>
      </c>
      <c r="K30" s="7">
        <v>30</v>
      </c>
      <c r="L30" s="14" t="s">
        <v>36</v>
      </c>
      <c r="M30" s="7">
        <v>30</v>
      </c>
      <c r="N30" s="14" t="s">
        <v>36</v>
      </c>
      <c r="O30" s="7">
        <v>20</v>
      </c>
    </row>
    <row r="31" spans="1:15" x14ac:dyDescent="0.25">
      <c r="A31" s="36"/>
      <c r="B31" s="14" t="s">
        <v>35</v>
      </c>
      <c r="C31" s="7">
        <v>85</v>
      </c>
      <c r="D31" s="14" t="s">
        <v>35</v>
      </c>
      <c r="E31" s="7">
        <v>85</v>
      </c>
      <c r="F31" s="14" t="s">
        <v>35</v>
      </c>
      <c r="G31" s="7">
        <v>85</v>
      </c>
      <c r="H31" s="14" t="s">
        <v>35</v>
      </c>
      <c r="I31" s="7">
        <v>85</v>
      </c>
      <c r="J31" s="14" t="s">
        <v>35</v>
      </c>
      <c r="K31" s="7">
        <v>125</v>
      </c>
      <c r="L31" s="14" t="s">
        <v>35</v>
      </c>
      <c r="M31" s="7">
        <v>125</v>
      </c>
      <c r="N31" s="14" t="s">
        <v>35</v>
      </c>
      <c r="O31" s="7">
        <v>85</v>
      </c>
    </row>
    <row r="32" spans="1:15" x14ac:dyDescent="0.25">
      <c r="A32" s="37"/>
      <c r="B32" s="14" t="s">
        <v>0</v>
      </c>
      <c r="C32" s="7">
        <f>SUM(C30:C31)</f>
        <v>105</v>
      </c>
      <c r="D32" s="14" t="s">
        <v>0</v>
      </c>
      <c r="E32" s="7">
        <f>SUM(E30:E31)</f>
        <v>105</v>
      </c>
      <c r="F32" s="14" t="s">
        <v>0</v>
      </c>
      <c r="G32" s="7">
        <f>SUM(G30:G31)</f>
        <v>115</v>
      </c>
      <c r="H32" s="14" t="s">
        <v>0</v>
      </c>
      <c r="I32" s="7">
        <f>SUM(I30:I31)</f>
        <v>105</v>
      </c>
      <c r="J32" s="14" t="s">
        <v>0</v>
      </c>
      <c r="K32" s="7">
        <f>SUM(K30:K31)</f>
        <v>155</v>
      </c>
      <c r="L32" s="14" t="s">
        <v>0</v>
      </c>
      <c r="M32" s="7">
        <f>SUM(M30:M31)</f>
        <v>155</v>
      </c>
      <c r="N32" s="14" t="s">
        <v>0</v>
      </c>
      <c r="O32" s="7">
        <f>SUM(O30:O31)</f>
        <v>105</v>
      </c>
    </row>
    <row r="33" spans="1:15" x14ac:dyDescent="0.25">
      <c r="B33" s="8"/>
      <c r="C33" s="16">
        <f>C28-C32</f>
        <v>2</v>
      </c>
      <c r="D33" s="8"/>
      <c r="E33" s="17">
        <f>E28-E32</f>
        <v>-20</v>
      </c>
      <c r="F33" s="8"/>
      <c r="G33" s="16">
        <f>G28-G32</f>
        <v>108</v>
      </c>
      <c r="H33" s="8"/>
      <c r="I33" s="16">
        <f>I28-I32</f>
        <v>41</v>
      </c>
      <c r="J33" s="8"/>
      <c r="K33" s="16">
        <f>K28-K32</f>
        <v>199</v>
      </c>
      <c r="L33" s="8"/>
      <c r="M33" s="16">
        <f>M28-M32</f>
        <v>45</v>
      </c>
      <c r="N33" s="8"/>
      <c r="O33" s="16">
        <f>O28-O32</f>
        <v>67</v>
      </c>
    </row>
    <row r="36" spans="1:15" x14ac:dyDescent="0.25">
      <c r="B36" s="39">
        <v>45860</v>
      </c>
      <c r="C36" s="39"/>
      <c r="D36" s="39">
        <v>45861</v>
      </c>
      <c r="E36" s="39"/>
      <c r="F36" s="39">
        <v>45862</v>
      </c>
      <c r="G36" s="39"/>
      <c r="H36" s="39">
        <v>45863</v>
      </c>
      <c r="I36" s="39"/>
      <c r="J36" s="39">
        <v>45864</v>
      </c>
      <c r="K36" s="39"/>
      <c r="L36" s="39">
        <v>45865</v>
      </c>
      <c r="M36" s="39"/>
      <c r="N36" s="39">
        <v>45866</v>
      </c>
      <c r="O36" s="39"/>
    </row>
    <row r="37" spans="1:15" x14ac:dyDescent="0.25">
      <c r="A37" s="32" t="s">
        <v>37</v>
      </c>
      <c r="B37" s="14" t="s">
        <v>24</v>
      </c>
      <c r="C37" s="7">
        <v>70</v>
      </c>
      <c r="D37" s="14" t="s">
        <v>24</v>
      </c>
      <c r="E37" s="7">
        <v>55</v>
      </c>
      <c r="F37" s="14" t="s">
        <v>24</v>
      </c>
      <c r="G37" s="7">
        <v>75</v>
      </c>
      <c r="H37" s="14" t="s">
        <v>24</v>
      </c>
      <c r="I37" s="7">
        <v>190</v>
      </c>
      <c r="J37" s="14" t="s">
        <v>24</v>
      </c>
      <c r="K37" s="7">
        <v>80</v>
      </c>
      <c r="L37" s="14" t="s">
        <v>24</v>
      </c>
      <c r="M37" s="7">
        <v>65</v>
      </c>
      <c r="N37" s="14" t="s">
        <v>24</v>
      </c>
      <c r="O37" s="7">
        <v>120</v>
      </c>
    </row>
    <row r="38" spans="1:15" x14ac:dyDescent="0.25">
      <c r="A38" s="33"/>
      <c r="B38" s="14" t="s">
        <v>25</v>
      </c>
      <c r="C38" s="7">
        <v>60</v>
      </c>
      <c r="D38" s="14" t="s">
        <v>25</v>
      </c>
      <c r="E38" s="7">
        <v>305</v>
      </c>
      <c r="F38" s="14" t="s">
        <v>25</v>
      </c>
      <c r="G38" s="7">
        <v>40</v>
      </c>
      <c r="H38" s="14" t="s">
        <v>25</v>
      </c>
      <c r="I38" s="7">
        <v>3</v>
      </c>
      <c r="J38" s="14" t="s">
        <v>25</v>
      </c>
      <c r="K38" s="7">
        <v>187</v>
      </c>
      <c r="L38" s="14" t="s">
        <v>25</v>
      </c>
      <c r="M38" s="7">
        <v>75</v>
      </c>
      <c r="N38" s="14" t="s">
        <v>25</v>
      </c>
      <c r="O38" s="7">
        <v>97</v>
      </c>
    </row>
    <row r="39" spans="1:15" x14ac:dyDescent="0.25">
      <c r="A39" s="34"/>
      <c r="B39" s="14" t="s">
        <v>0</v>
      </c>
      <c r="C39" s="7">
        <f>SUM(C37:C38)</f>
        <v>130</v>
      </c>
      <c r="D39" s="14" t="s">
        <v>0</v>
      </c>
      <c r="E39" s="7">
        <f>SUM(E37:E38)</f>
        <v>360</v>
      </c>
      <c r="F39" s="14" t="s">
        <v>0</v>
      </c>
      <c r="G39" s="7">
        <f>SUM(G37:G38)</f>
        <v>115</v>
      </c>
      <c r="H39" s="14" t="s">
        <v>0</v>
      </c>
      <c r="I39" s="7">
        <f>SUM(I37:I38)</f>
        <v>193</v>
      </c>
      <c r="J39" s="14" t="s">
        <v>0</v>
      </c>
      <c r="K39" s="7">
        <f>SUM(K37:K38)</f>
        <v>267</v>
      </c>
      <c r="L39" s="14" t="s">
        <v>0</v>
      </c>
      <c r="M39" s="7">
        <f>SUM(M37:M38)</f>
        <v>140</v>
      </c>
      <c r="N39" s="14" t="s">
        <v>0</v>
      </c>
      <c r="O39" s="7">
        <f>SUM(O37:O38)</f>
        <v>217</v>
      </c>
    </row>
    <row r="40" spans="1:15" x14ac:dyDescent="0.25">
      <c r="A40" s="15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2"/>
    </row>
    <row r="41" spans="1:15" x14ac:dyDescent="0.25">
      <c r="A41" s="35" t="s">
        <v>23</v>
      </c>
      <c r="B41" s="14" t="s">
        <v>36</v>
      </c>
      <c r="C41" s="7">
        <v>20</v>
      </c>
      <c r="D41" s="14" t="s">
        <v>36</v>
      </c>
      <c r="E41" s="7">
        <v>20</v>
      </c>
      <c r="F41" s="14" t="s">
        <v>36</v>
      </c>
      <c r="G41" s="7">
        <v>20</v>
      </c>
      <c r="H41" s="14" t="s">
        <v>36</v>
      </c>
      <c r="I41" s="7">
        <v>20</v>
      </c>
      <c r="J41" s="14" t="s">
        <v>36</v>
      </c>
      <c r="K41" s="7">
        <v>20</v>
      </c>
      <c r="L41" s="14" t="s">
        <v>36</v>
      </c>
      <c r="M41" s="7">
        <v>20</v>
      </c>
      <c r="N41" s="14" t="s">
        <v>36</v>
      </c>
      <c r="O41" s="7">
        <v>10</v>
      </c>
    </row>
    <row r="42" spans="1:15" x14ac:dyDescent="0.25">
      <c r="A42" s="36"/>
      <c r="B42" s="14" t="s">
        <v>35</v>
      </c>
      <c r="C42" s="7">
        <v>85</v>
      </c>
      <c r="D42" s="14" t="s">
        <v>35</v>
      </c>
      <c r="E42" s="7">
        <v>85</v>
      </c>
      <c r="F42" s="14" t="s">
        <v>35</v>
      </c>
      <c r="G42" s="7">
        <v>85</v>
      </c>
      <c r="H42" s="14" t="s">
        <v>35</v>
      </c>
      <c r="I42" s="7">
        <v>85</v>
      </c>
      <c r="J42" s="14" t="s">
        <v>35</v>
      </c>
      <c r="K42" s="7">
        <v>125</v>
      </c>
      <c r="L42" s="14" t="s">
        <v>35</v>
      </c>
      <c r="M42" s="7">
        <v>125</v>
      </c>
      <c r="N42" s="14" t="s">
        <v>35</v>
      </c>
      <c r="O42" s="7">
        <v>85</v>
      </c>
    </row>
    <row r="43" spans="1:15" x14ac:dyDescent="0.25">
      <c r="A43" s="37"/>
      <c r="B43" s="14" t="s">
        <v>0</v>
      </c>
      <c r="C43" s="7">
        <f>SUM(C41:C42)</f>
        <v>105</v>
      </c>
      <c r="D43" s="14" t="s">
        <v>0</v>
      </c>
      <c r="E43" s="7">
        <f>SUM(E41:E42)</f>
        <v>105</v>
      </c>
      <c r="F43" s="14" t="s">
        <v>0</v>
      </c>
      <c r="G43" s="7">
        <f>SUM(G41:G42)</f>
        <v>105</v>
      </c>
      <c r="H43" s="14" t="s">
        <v>0</v>
      </c>
      <c r="I43" s="7">
        <f>SUM(I41:I42)</f>
        <v>105</v>
      </c>
      <c r="J43" s="14" t="s">
        <v>0</v>
      </c>
      <c r="K43" s="7">
        <f>SUM(K41:K42)</f>
        <v>145</v>
      </c>
      <c r="L43" s="14" t="s">
        <v>0</v>
      </c>
      <c r="M43" s="7">
        <f>SUM(M41:M42)</f>
        <v>145</v>
      </c>
      <c r="N43" s="14" t="s">
        <v>0</v>
      </c>
      <c r="O43" s="7">
        <f>SUM(O41:O42)</f>
        <v>95</v>
      </c>
    </row>
    <row r="44" spans="1:15" x14ac:dyDescent="0.25">
      <c r="B44" s="8"/>
      <c r="C44" s="16">
        <f>C39-C43</f>
        <v>25</v>
      </c>
      <c r="D44" s="8"/>
      <c r="E44" s="16">
        <f>E39-E43</f>
        <v>255</v>
      </c>
      <c r="F44" s="8"/>
      <c r="G44" s="16">
        <f>G39-G43</f>
        <v>10</v>
      </c>
      <c r="H44" s="8"/>
      <c r="I44" s="16">
        <f>I39-I43</f>
        <v>88</v>
      </c>
      <c r="J44" s="8"/>
      <c r="K44" s="16">
        <f>K39-K43</f>
        <v>122</v>
      </c>
      <c r="L44" s="8"/>
      <c r="M44" s="17">
        <f>M39-M43</f>
        <v>-5</v>
      </c>
      <c r="N44" s="8"/>
      <c r="O44" s="16">
        <f>O39-O43</f>
        <v>122</v>
      </c>
    </row>
    <row r="47" spans="1:15" x14ac:dyDescent="0.25">
      <c r="B47" s="39">
        <v>45867</v>
      </c>
      <c r="C47" s="39"/>
      <c r="D47" s="39">
        <v>45868</v>
      </c>
      <c r="E47" s="39"/>
      <c r="F47" s="39">
        <v>45869</v>
      </c>
      <c r="G47" s="39"/>
      <c r="L47" s="47" t="s">
        <v>313</v>
      </c>
    </row>
    <row r="48" spans="1:15" x14ac:dyDescent="0.25">
      <c r="A48" s="32" t="s">
        <v>37</v>
      </c>
      <c r="B48" s="14" t="s">
        <v>24</v>
      </c>
      <c r="C48" s="7">
        <v>140</v>
      </c>
      <c r="D48" s="14" t="s">
        <v>24</v>
      </c>
      <c r="E48" s="7">
        <v>54</v>
      </c>
      <c r="F48" s="14" t="s">
        <v>24</v>
      </c>
      <c r="G48" s="7">
        <v>187</v>
      </c>
      <c r="L48" s="46">
        <v>329</v>
      </c>
    </row>
    <row r="49" spans="1:12" x14ac:dyDescent="0.25">
      <c r="A49" s="33"/>
      <c r="B49" s="14" t="s">
        <v>25</v>
      </c>
      <c r="C49" s="7"/>
      <c r="D49" s="14" t="s">
        <v>25</v>
      </c>
      <c r="E49" s="7">
        <v>75</v>
      </c>
      <c r="F49" s="14" t="s">
        <v>25</v>
      </c>
      <c r="G49" s="7">
        <v>400</v>
      </c>
      <c r="L49" s="46">
        <v>160</v>
      </c>
    </row>
    <row r="50" spans="1:12" x14ac:dyDescent="0.25">
      <c r="A50" s="34"/>
      <c r="B50" s="14" t="s">
        <v>0</v>
      </c>
      <c r="C50" s="7">
        <f>SUM(C48:C49)</f>
        <v>140</v>
      </c>
      <c r="D50" s="14" t="s">
        <v>0</v>
      </c>
      <c r="E50" s="7">
        <f>SUM(E48:E49)</f>
        <v>129</v>
      </c>
      <c r="F50" s="14" t="s">
        <v>0</v>
      </c>
      <c r="G50" s="7">
        <f>SUM(G48:G49)</f>
        <v>587</v>
      </c>
      <c r="L50" s="46">
        <v>80</v>
      </c>
    </row>
    <row r="51" spans="1:12" x14ac:dyDescent="0.25">
      <c r="A51" s="15"/>
      <c r="B51" s="38"/>
      <c r="C51" s="38"/>
      <c r="D51" s="38"/>
      <c r="E51" s="38"/>
      <c r="F51" s="38"/>
      <c r="G51" s="38"/>
      <c r="L51" s="46">
        <v>180</v>
      </c>
    </row>
    <row r="52" spans="1:12" x14ac:dyDescent="0.25">
      <c r="A52" s="35" t="s">
        <v>23</v>
      </c>
      <c r="B52" s="14" t="s">
        <v>36</v>
      </c>
      <c r="C52" s="7">
        <v>20</v>
      </c>
      <c r="D52" s="14" t="s">
        <v>36</v>
      </c>
      <c r="E52" s="7">
        <v>20</v>
      </c>
      <c r="F52" s="14" t="s">
        <v>36</v>
      </c>
      <c r="G52" s="7">
        <v>20</v>
      </c>
      <c r="L52" s="46">
        <v>160</v>
      </c>
    </row>
    <row r="53" spans="1:12" x14ac:dyDescent="0.25">
      <c r="A53" s="36"/>
      <c r="B53" s="14" t="s">
        <v>35</v>
      </c>
      <c r="C53" s="7">
        <v>85</v>
      </c>
      <c r="D53" s="14" t="s">
        <v>35</v>
      </c>
      <c r="E53" s="7">
        <v>85</v>
      </c>
      <c r="F53" s="14" t="s">
        <v>35</v>
      </c>
      <c r="G53" s="7">
        <v>85</v>
      </c>
      <c r="L53" s="46">
        <v>76</v>
      </c>
    </row>
    <row r="54" spans="1:12" x14ac:dyDescent="0.25">
      <c r="A54" s="37"/>
      <c r="B54" s="14" t="s">
        <v>0</v>
      </c>
      <c r="C54" s="7">
        <f>SUM(C52:C53)</f>
        <v>105</v>
      </c>
      <c r="D54" s="14" t="s">
        <v>0</v>
      </c>
      <c r="E54" s="7">
        <f>SUM(E52:E53)</f>
        <v>105</v>
      </c>
      <c r="F54" s="14" t="s">
        <v>0</v>
      </c>
      <c r="G54" s="7">
        <f>SUM(G52:G53)</f>
        <v>105</v>
      </c>
      <c r="L54" s="46">
        <v>80</v>
      </c>
    </row>
    <row r="55" spans="1:12" x14ac:dyDescent="0.25">
      <c r="B55" s="8"/>
      <c r="C55" s="16">
        <f>C50-C54</f>
        <v>35</v>
      </c>
      <c r="D55" s="8"/>
      <c r="E55" s="16">
        <f>E50-E54</f>
        <v>24</v>
      </c>
      <c r="F55" s="8"/>
      <c r="G55" s="16">
        <f>G50-G54</f>
        <v>482</v>
      </c>
      <c r="L55" s="46">
        <v>30</v>
      </c>
    </row>
    <row r="56" spans="1:12" x14ac:dyDescent="0.25">
      <c r="L56" s="46">
        <v>20</v>
      </c>
    </row>
    <row r="57" spans="1:12" x14ac:dyDescent="0.25">
      <c r="C57" s="45" t="s">
        <v>322</v>
      </c>
      <c r="D57" s="45"/>
      <c r="E57" s="45"/>
      <c r="F57" s="8">
        <v>6564</v>
      </c>
      <c r="L57" s="46">
        <v>30</v>
      </c>
    </row>
    <row r="58" spans="1:12" x14ac:dyDescent="0.25">
      <c r="L58" s="46">
        <v>20</v>
      </c>
    </row>
    <row r="59" spans="1:12" x14ac:dyDescent="0.25">
      <c r="C59" s="45" t="s">
        <v>312</v>
      </c>
      <c r="D59" s="45"/>
      <c r="E59" s="45"/>
      <c r="F59" s="8">
        <v>3386</v>
      </c>
      <c r="L59" s="46">
        <v>30</v>
      </c>
    </row>
    <row r="60" spans="1:12" x14ac:dyDescent="0.25">
      <c r="L60" s="46">
        <v>316</v>
      </c>
    </row>
    <row r="61" spans="1:12" x14ac:dyDescent="0.25">
      <c r="C61" s="45" t="s">
        <v>316</v>
      </c>
      <c r="D61" s="45"/>
      <c r="E61" s="45"/>
      <c r="F61" s="8">
        <f>4086+L67</f>
        <v>5836</v>
      </c>
      <c r="L61" s="46">
        <v>316</v>
      </c>
    </row>
    <row r="62" spans="1:12" x14ac:dyDescent="0.25">
      <c r="C62" s="45" t="s">
        <v>317</v>
      </c>
      <c r="D62" s="45"/>
      <c r="E62" s="45"/>
      <c r="F62" s="8">
        <v>1941</v>
      </c>
      <c r="L62" s="46">
        <v>8</v>
      </c>
    </row>
    <row r="63" spans="1:12" x14ac:dyDescent="0.25">
      <c r="C63" s="45" t="s">
        <v>314</v>
      </c>
      <c r="D63" s="45"/>
      <c r="E63" s="45"/>
      <c r="F63" s="8">
        <v>850</v>
      </c>
      <c r="L63" s="46">
        <v>27</v>
      </c>
    </row>
    <row r="64" spans="1:12" x14ac:dyDescent="0.25">
      <c r="C64" s="45" t="s">
        <v>323</v>
      </c>
      <c r="D64" s="45"/>
      <c r="E64" s="45"/>
      <c r="F64" s="8">
        <f>SUM(F61:F63)</f>
        <v>8627</v>
      </c>
      <c r="L64" s="46">
        <v>79</v>
      </c>
    </row>
    <row r="65" spans="3:12" x14ac:dyDescent="0.25">
      <c r="L65">
        <f>SUM(L48:L64)</f>
        <v>1941</v>
      </c>
    </row>
    <row r="66" spans="3:12" x14ac:dyDescent="0.25">
      <c r="C66" s="45" t="s">
        <v>324</v>
      </c>
      <c r="D66" s="45"/>
      <c r="E66" s="45"/>
      <c r="F66" s="8">
        <f>F57-F64</f>
        <v>-2063</v>
      </c>
      <c r="L66" s="48"/>
    </row>
    <row r="67" spans="3:12" x14ac:dyDescent="0.25">
      <c r="K67" t="s">
        <v>315</v>
      </c>
      <c r="L67" s="48">
        <v>1750</v>
      </c>
    </row>
    <row r="68" spans="3:12" x14ac:dyDescent="0.25">
      <c r="C68" s="45" t="s">
        <v>318</v>
      </c>
      <c r="D68" s="45"/>
      <c r="E68" s="45"/>
      <c r="L68" s="48"/>
    </row>
    <row r="69" spans="3:12" x14ac:dyDescent="0.25">
      <c r="C69" s="49" t="s">
        <v>319</v>
      </c>
      <c r="D69" s="49"/>
      <c r="E69" s="8">
        <v>600</v>
      </c>
    </row>
    <row r="70" spans="3:12" x14ac:dyDescent="0.25">
      <c r="C70" s="49" t="s">
        <v>320</v>
      </c>
      <c r="D70" s="49"/>
      <c r="E70" s="8">
        <v>279</v>
      </c>
    </row>
    <row r="71" spans="3:12" x14ac:dyDescent="0.25">
      <c r="C71" s="49" t="s">
        <v>321</v>
      </c>
      <c r="D71" s="49"/>
      <c r="E71" s="8">
        <v>79</v>
      </c>
    </row>
    <row r="72" spans="3:12" x14ac:dyDescent="0.25">
      <c r="C72" s="49" t="s">
        <v>0</v>
      </c>
      <c r="D72" s="49"/>
      <c r="E72" s="8">
        <f>SUM(E69:E71)</f>
        <v>958</v>
      </c>
    </row>
  </sheetData>
  <mergeCells count="58">
    <mergeCell ref="C72:D72"/>
    <mergeCell ref="C57:E57"/>
    <mergeCell ref="C64:E64"/>
    <mergeCell ref="C66:E66"/>
    <mergeCell ref="C69:D69"/>
    <mergeCell ref="C70:D70"/>
    <mergeCell ref="C71:D71"/>
    <mergeCell ref="C68:E68"/>
    <mergeCell ref="C59:E59"/>
    <mergeCell ref="C61:E61"/>
    <mergeCell ref="C62:E62"/>
    <mergeCell ref="C63:E63"/>
    <mergeCell ref="A19:A21"/>
    <mergeCell ref="B7:O7"/>
    <mergeCell ref="A4:A6"/>
    <mergeCell ref="A8:A10"/>
    <mergeCell ref="A15:A17"/>
    <mergeCell ref="N14:O14"/>
    <mergeCell ref="B18:O18"/>
    <mergeCell ref="L3:M3"/>
    <mergeCell ref="N3:O3"/>
    <mergeCell ref="B14:C14"/>
    <mergeCell ref="D14:E14"/>
    <mergeCell ref="F14:G14"/>
    <mergeCell ref="H14:I14"/>
    <mergeCell ref="J14:K14"/>
    <mergeCell ref="L14:M14"/>
    <mergeCell ref="B3:C3"/>
    <mergeCell ref="D3:E3"/>
    <mergeCell ref="F3:G3"/>
    <mergeCell ref="H3:I3"/>
    <mergeCell ref="J3:K3"/>
    <mergeCell ref="L25:M25"/>
    <mergeCell ref="N25:O25"/>
    <mergeCell ref="A26:A28"/>
    <mergeCell ref="B29:O29"/>
    <mergeCell ref="A30:A32"/>
    <mergeCell ref="B25:C25"/>
    <mergeCell ref="D25:E25"/>
    <mergeCell ref="F25:G25"/>
    <mergeCell ref="H25:I25"/>
    <mergeCell ref="J25:K25"/>
    <mergeCell ref="L36:M36"/>
    <mergeCell ref="N36:O36"/>
    <mergeCell ref="A37:A39"/>
    <mergeCell ref="B40:O40"/>
    <mergeCell ref="A41:A43"/>
    <mergeCell ref="B36:C36"/>
    <mergeCell ref="D36:E36"/>
    <mergeCell ref="F36:G36"/>
    <mergeCell ref="H36:I36"/>
    <mergeCell ref="J36:K36"/>
    <mergeCell ref="A48:A50"/>
    <mergeCell ref="A52:A54"/>
    <mergeCell ref="B51:G51"/>
    <mergeCell ref="B47:C47"/>
    <mergeCell ref="D47:E47"/>
    <mergeCell ref="F47:G47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014A-5B58-4CCB-895D-CAEC23DC928B}">
  <dimension ref="A2:U36"/>
  <sheetViews>
    <sheetView zoomScale="76" zoomScaleNormal="70" workbookViewId="0">
      <selection activeCell="U21" sqref="U21"/>
    </sheetView>
  </sheetViews>
  <sheetFormatPr baseColWidth="10" defaultRowHeight="15" x14ac:dyDescent="0.25"/>
  <cols>
    <col min="2" max="2" width="13.28515625" bestFit="1" customWidth="1"/>
    <col min="3" max="3" width="8.42578125" bestFit="1" customWidth="1"/>
    <col min="4" max="4" width="10.42578125" bestFit="1" customWidth="1"/>
    <col min="5" max="5" width="14.140625" bestFit="1" customWidth="1"/>
    <col min="6" max="6" width="9.28515625" bestFit="1" customWidth="1"/>
    <col min="7" max="8" width="10.7109375" bestFit="1" customWidth="1"/>
    <col min="11" max="11" width="13.42578125" bestFit="1" customWidth="1"/>
    <col min="12" max="12" width="8.42578125" bestFit="1" customWidth="1"/>
    <col min="13" max="13" width="10.42578125" bestFit="1" customWidth="1"/>
    <col min="14" max="14" width="14.140625" bestFit="1" customWidth="1"/>
    <col min="15" max="15" width="9.28515625" bestFit="1" customWidth="1"/>
    <col min="16" max="17" width="10.7109375" bestFit="1" customWidth="1"/>
  </cols>
  <sheetData>
    <row r="2" spans="2:17" hidden="1" x14ac:dyDescent="0.25">
      <c r="B2" s="2" t="s">
        <v>1</v>
      </c>
      <c r="C2" s="3">
        <v>45</v>
      </c>
      <c r="D2" s="1"/>
    </row>
    <row r="3" spans="2:17" hidden="1" x14ac:dyDescent="0.25">
      <c r="B3" s="2" t="s">
        <v>27</v>
      </c>
      <c r="C3" s="3">
        <v>35</v>
      </c>
      <c r="D3" s="1"/>
    </row>
    <row r="4" spans="2:17" x14ac:dyDescent="0.25">
      <c r="B4" s="1"/>
      <c r="C4" s="1"/>
      <c r="D4" s="1"/>
    </row>
    <row r="6" spans="2:17" ht="18.75" x14ac:dyDescent="0.25">
      <c r="B6" s="43" t="s">
        <v>9</v>
      </c>
      <c r="C6" s="43"/>
      <c r="D6" s="43"/>
      <c r="E6" s="43"/>
      <c r="F6" s="43"/>
      <c r="G6" s="43"/>
      <c r="H6" s="43"/>
      <c r="K6" s="43" t="s">
        <v>10</v>
      </c>
      <c r="L6" s="43"/>
      <c r="M6" s="43"/>
      <c r="N6" s="43"/>
      <c r="O6" s="43"/>
      <c r="P6" s="43"/>
      <c r="Q6" s="43"/>
    </row>
    <row r="7" spans="2:17" ht="18.75" x14ac:dyDescent="0.25">
      <c r="B7" s="43" t="s">
        <v>31</v>
      </c>
      <c r="C7" s="43"/>
      <c r="D7" s="43"/>
      <c r="E7" s="43"/>
      <c r="F7" s="43"/>
      <c r="G7" s="43"/>
      <c r="H7" s="43"/>
      <c r="K7" s="43" t="s">
        <v>31</v>
      </c>
      <c r="L7" s="43"/>
      <c r="M7" s="43"/>
      <c r="N7" s="43"/>
      <c r="O7" s="43"/>
      <c r="P7" s="43"/>
      <c r="Q7" s="43"/>
    </row>
    <row r="8" spans="2:17" ht="18.75" x14ac:dyDescent="0.25"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K8" s="4" t="s">
        <v>2</v>
      </c>
      <c r="L8" s="4" t="s">
        <v>3</v>
      </c>
      <c r="M8" s="4" t="s">
        <v>4</v>
      </c>
      <c r="N8" s="4" t="s">
        <v>5</v>
      </c>
      <c r="O8" s="4" t="s">
        <v>6</v>
      </c>
      <c r="P8" s="4" t="s">
        <v>7</v>
      </c>
      <c r="Q8" s="4" t="s">
        <v>8</v>
      </c>
    </row>
    <row r="9" spans="2:17" ht="18.75" x14ac:dyDescent="0.25">
      <c r="B9" s="4"/>
      <c r="C9" s="4"/>
      <c r="D9" s="4"/>
      <c r="E9" s="4"/>
      <c r="F9" s="4">
        <v>1</v>
      </c>
      <c r="G9" s="4">
        <f t="shared" ref="G9:H13" si="0">F9+1</f>
        <v>2</v>
      </c>
      <c r="H9" s="4">
        <f t="shared" si="0"/>
        <v>3</v>
      </c>
      <c r="K9" s="4"/>
      <c r="L9" s="4"/>
      <c r="M9" s="4"/>
      <c r="N9" s="4"/>
      <c r="O9" s="4">
        <v>1</v>
      </c>
      <c r="P9" s="4">
        <f t="shared" ref="P9:Q13" si="1">O9+1</f>
        <v>2</v>
      </c>
      <c r="Q9" s="4">
        <f t="shared" si="1"/>
        <v>3</v>
      </c>
    </row>
    <row r="10" spans="2:17" ht="18.75" x14ac:dyDescent="0.25">
      <c r="B10" s="4">
        <f>H9+1</f>
        <v>4</v>
      </c>
      <c r="C10" s="4">
        <f t="shared" ref="C10:F13" si="2">B10+1</f>
        <v>5</v>
      </c>
      <c r="D10" s="4">
        <f t="shared" si="2"/>
        <v>6</v>
      </c>
      <c r="E10" s="4">
        <f t="shared" si="2"/>
        <v>7</v>
      </c>
      <c r="F10" s="4">
        <f t="shared" si="2"/>
        <v>8</v>
      </c>
      <c r="G10" s="4">
        <f t="shared" si="0"/>
        <v>9</v>
      </c>
      <c r="H10" s="4">
        <f t="shared" si="0"/>
        <v>10</v>
      </c>
      <c r="K10" s="4">
        <f>Q9+1</f>
        <v>4</v>
      </c>
      <c r="L10" s="4">
        <f t="shared" ref="L10:O13" si="3">K10+1</f>
        <v>5</v>
      </c>
      <c r="M10" s="4">
        <f t="shared" si="3"/>
        <v>6</v>
      </c>
      <c r="N10" s="4">
        <f t="shared" si="3"/>
        <v>7</v>
      </c>
      <c r="O10" s="4">
        <f t="shared" si="3"/>
        <v>8</v>
      </c>
      <c r="P10" s="4">
        <f t="shared" si="1"/>
        <v>9</v>
      </c>
      <c r="Q10" s="4">
        <f t="shared" si="1"/>
        <v>10</v>
      </c>
    </row>
    <row r="11" spans="2:17" ht="18.75" x14ac:dyDescent="0.25">
      <c r="B11" s="4">
        <f>H10+1</f>
        <v>11</v>
      </c>
      <c r="C11" s="4">
        <f t="shared" si="2"/>
        <v>12</v>
      </c>
      <c r="D11" s="4">
        <f t="shared" si="2"/>
        <v>13</v>
      </c>
      <c r="E11" s="4">
        <f t="shared" si="2"/>
        <v>14</v>
      </c>
      <c r="F11" s="4">
        <f t="shared" si="2"/>
        <v>15</v>
      </c>
      <c r="G11" s="4">
        <f t="shared" si="0"/>
        <v>16</v>
      </c>
      <c r="H11" s="13">
        <f t="shared" si="0"/>
        <v>17</v>
      </c>
      <c r="K11" s="4">
        <f>Q10+1</f>
        <v>11</v>
      </c>
      <c r="L11" s="4">
        <f t="shared" si="3"/>
        <v>12</v>
      </c>
      <c r="M11" s="4">
        <f t="shared" si="3"/>
        <v>13</v>
      </c>
      <c r="N11" s="4">
        <f t="shared" si="3"/>
        <v>14</v>
      </c>
      <c r="O11" s="4">
        <f t="shared" si="3"/>
        <v>15</v>
      </c>
      <c r="P11" s="4">
        <f t="shared" si="1"/>
        <v>16</v>
      </c>
      <c r="Q11" s="4">
        <f t="shared" si="1"/>
        <v>17</v>
      </c>
    </row>
    <row r="12" spans="2:17" ht="18.75" x14ac:dyDescent="0.25">
      <c r="B12" s="4">
        <f>H11+1</f>
        <v>18</v>
      </c>
      <c r="C12" s="5">
        <f t="shared" si="2"/>
        <v>19</v>
      </c>
      <c r="D12" s="5">
        <f t="shared" si="2"/>
        <v>20</v>
      </c>
      <c r="E12" s="5">
        <f t="shared" si="2"/>
        <v>21</v>
      </c>
      <c r="F12" s="5">
        <f t="shared" si="2"/>
        <v>22</v>
      </c>
      <c r="G12" s="5">
        <f t="shared" si="0"/>
        <v>23</v>
      </c>
      <c r="H12" s="5">
        <f t="shared" si="0"/>
        <v>24</v>
      </c>
      <c r="K12" s="4">
        <f>Q11+1</f>
        <v>18</v>
      </c>
      <c r="L12" s="5">
        <f t="shared" si="3"/>
        <v>19</v>
      </c>
      <c r="M12" s="5">
        <f t="shared" si="3"/>
        <v>20</v>
      </c>
      <c r="N12" s="5">
        <f t="shared" si="3"/>
        <v>21</v>
      </c>
      <c r="O12" s="5">
        <f t="shared" si="3"/>
        <v>22</v>
      </c>
      <c r="P12" s="5">
        <f t="shared" si="1"/>
        <v>23</v>
      </c>
      <c r="Q12" s="5">
        <f t="shared" si="1"/>
        <v>24</v>
      </c>
    </row>
    <row r="13" spans="2:17" ht="18.75" x14ac:dyDescent="0.25">
      <c r="B13" s="5">
        <f>H12+1</f>
        <v>25</v>
      </c>
      <c r="C13" s="5">
        <f t="shared" si="2"/>
        <v>26</v>
      </c>
      <c r="D13" s="9">
        <f t="shared" si="2"/>
        <v>27</v>
      </c>
      <c r="E13" s="9">
        <f t="shared" si="2"/>
        <v>28</v>
      </c>
      <c r="F13" s="9">
        <f t="shared" si="2"/>
        <v>29</v>
      </c>
      <c r="G13" s="9">
        <f t="shared" si="0"/>
        <v>30</v>
      </c>
      <c r="H13" s="12">
        <f t="shared" si="0"/>
        <v>31</v>
      </c>
      <c r="K13" s="5">
        <f>Q12+1</f>
        <v>25</v>
      </c>
      <c r="L13" s="5">
        <f t="shared" si="3"/>
        <v>26</v>
      </c>
      <c r="M13" s="9">
        <f t="shared" si="3"/>
        <v>27</v>
      </c>
      <c r="N13" s="9">
        <f t="shared" si="3"/>
        <v>28</v>
      </c>
      <c r="O13" s="9">
        <f t="shared" si="3"/>
        <v>29</v>
      </c>
      <c r="P13" s="9">
        <f t="shared" si="1"/>
        <v>30</v>
      </c>
      <c r="Q13" s="12">
        <f t="shared" si="1"/>
        <v>31</v>
      </c>
    </row>
    <row r="14" spans="2:17" x14ac:dyDescent="0.25">
      <c r="B14">
        <v>45</v>
      </c>
      <c r="C14">
        <v>90</v>
      </c>
      <c r="D14">
        <v>120</v>
      </c>
      <c r="E14">
        <v>120</v>
      </c>
      <c r="F14">
        <v>120</v>
      </c>
      <c r="G14">
        <v>120</v>
      </c>
      <c r="H14">
        <v>155</v>
      </c>
      <c r="K14">
        <v>9</v>
      </c>
      <c r="L14">
        <v>18</v>
      </c>
      <c r="M14">
        <v>37</v>
      </c>
      <c r="N14">
        <v>27</v>
      </c>
      <c r="O14">
        <v>47</v>
      </c>
      <c r="P14">
        <v>27</v>
      </c>
      <c r="Q14">
        <v>36</v>
      </c>
    </row>
    <row r="17" spans="1:21" ht="18.75" x14ac:dyDescent="0.25">
      <c r="B17" s="43" t="s">
        <v>30</v>
      </c>
      <c r="C17" s="43"/>
      <c r="D17" s="43"/>
      <c r="E17" s="43"/>
      <c r="F17" s="43"/>
      <c r="G17" s="43"/>
      <c r="H17" s="43"/>
      <c r="K17" s="43" t="s">
        <v>33</v>
      </c>
      <c r="L17" s="43"/>
      <c r="M17" s="43"/>
      <c r="N17" s="43"/>
      <c r="O17" s="43"/>
      <c r="P17" s="43"/>
      <c r="Q17" s="43"/>
    </row>
    <row r="18" spans="1:21" ht="18.75" x14ac:dyDescent="0.25">
      <c r="B18" s="43" t="s">
        <v>31</v>
      </c>
      <c r="C18" s="43"/>
      <c r="D18" s="43"/>
      <c r="E18" s="43"/>
      <c r="F18" s="43"/>
      <c r="G18" s="43"/>
      <c r="H18" s="43"/>
      <c r="K18" s="43" t="s">
        <v>31</v>
      </c>
      <c r="L18" s="43"/>
      <c r="M18" s="43"/>
      <c r="N18" s="43"/>
      <c r="O18" s="43"/>
      <c r="P18" s="43"/>
      <c r="Q18" s="43"/>
    </row>
    <row r="19" spans="1:21" ht="18.75" x14ac:dyDescent="0.25"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K19" s="4" t="s">
        <v>2</v>
      </c>
      <c r="L19" s="4" t="s">
        <v>3</v>
      </c>
      <c r="M19" s="4" t="s">
        <v>4</v>
      </c>
      <c r="N19" s="4" t="s">
        <v>5</v>
      </c>
      <c r="O19" s="4" t="s">
        <v>6</v>
      </c>
      <c r="P19" s="4" t="s">
        <v>7</v>
      </c>
      <c r="Q19" s="4" t="s">
        <v>8</v>
      </c>
    </row>
    <row r="20" spans="1:21" ht="18" customHeight="1" x14ac:dyDescent="0.25">
      <c r="A20">
        <v>80</v>
      </c>
      <c r="B20" s="12">
        <v>1</v>
      </c>
      <c r="C20" s="12">
        <f t="shared" ref="C20:H23" si="4">B20+1</f>
        <v>2</v>
      </c>
      <c r="D20" s="12">
        <f t="shared" si="4"/>
        <v>3</v>
      </c>
      <c r="E20" s="12">
        <f t="shared" si="4"/>
        <v>4</v>
      </c>
      <c r="F20" s="9">
        <f t="shared" si="4"/>
        <v>5</v>
      </c>
      <c r="G20" s="9">
        <f t="shared" si="4"/>
        <v>6</v>
      </c>
      <c r="H20" s="12">
        <f t="shared" si="4"/>
        <v>7</v>
      </c>
      <c r="K20" s="12">
        <v>1</v>
      </c>
      <c r="L20" s="12">
        <f t="shared" ref="L20:Q23" si="5">K20+1</f>
        <v>2</v>
      </c>
      <c r="M20" s="12">
        <f t="shared" si="5"/>
        <v>3</v>
      </c>
      <c r="N20" s="12">
        <f t="shared" si="5"/>
        <v>4</v>
      </c>
      <c r="O20" s="9">
        <f t="shared" si="5"/>
        <v>5</v>
      </c>
      <c r="P20" s="9">
        <f t="shared" si="5"/>
        <v>6</v>
      </c>
      <c r="Q20" s="12">
        <f t="shared" si="5"/>
        <v>7</v>
      </c>
      <c r="U20">
        <f>882+110</f>
        <v>992</v>
      </c>
    </row>
    <row r="21" spans="1:21" ht="18.75" x14ac:dyDescent="0.25">
      <c r="A21">
        <v>115</v>
      </c>
      <c r="B21" s="12">
        <f>H20+1</f>
        <v>8</v>
      </c>
      <c r="C21" s="5">
        <f t="shared" si="4"/>
        <v>9</v>
      </c>
      <c r="D21" s="5">
        <f t="shared" si="4"/>
        <v>10</v>
      </c>
      <c r="E21" s="9">
        <f t="shared" si="4"/>
        <v>11</v>
      </c>
      <c r="F21" s="9">
        <f t="shared" si="4"/>
        <v>12</v>
      </c>
      <c r="G21" s="9">
        <f t="shared" si="4"/>
        <v>13</v>
      </c>
      <c r="H21" s="12">
        <f t="shared" si="4"/>
        <v>14</v>
      </c>
      <c r="K21" s="12">
        <f>Q20+1</f>
        <v>8</v>
      </c>
      <c r="L21" s="5">
        <f t="shared" si="5"/>
        <v>9</v>
      </c>
      <c r="M21" s="5">
        <f t="shared" si="5"/>
        <v>10</v>
      </c>
      <c r="N21" s="9">
        <f t="shared" si="5"/>
        <v>11</v>
      </c>
      <c r="O21" s="9">
        <f t="shared" si="5"/>
        <v>12</v>
      </c>
      <c r="P21" s="9">
        <f t="shared" si="5"/>
        <v>13</v>
      </c>
      <c r="Q21" s="12">
        <f t="shared" si="5"/>
        <v>14</v>
      </c>
    </row>
    <row r="22" spans="1:21" ht="18.75" x14ac:dyDescent="0.25">
      <c r="A22">
        <v>115</v>
      </c>
      <c r="B22" s="12">
        <f>H21+1</f>
        <v>15</v>
      </c>
      <c r="C22" s="9">
        <f t="shared" si="4"/>
        <v>16</v>
      </c>
      <c r="D22" s="9">
        <f t="shared" si="4"/>
        <v>17</v>
      </c>
      <c r="E22" s="9">
        <f t="shared" si="4"/>
        <v>18</v>
      </c>
      <c r="F22" s="9">
        <f t="shared" si="4"/>
        <v>19</v>
      </c>
      <c r="G22" s="9">
        <f t="shared" si="4"/>
        <v>20</v>
      </c>
      <c r="H22" s="12">
        <f t="shared" si="4"/>
        <v>21</v>
      </c>
      <c r="K22" s="12">
        <f>Q21+1</f>
        <v>15</v>
      </c>
      <c r="L22" s="9">
        <f t="shared" si="5"/>
        <v>16</v>
      </c>
      <c r="M22" s="9">
        <f t="shared" si="5"/>
        <v>17</v>
      </c>
      <c r="N22" s="9">
        <f t="shared" si="5"/>
        <v>18</v>
      </c>
      <c r="O22" s="9">
        <f t="shared" si="5"/>
        <v>19</v>
      </c>
      <c r="P22" s="9">
        <f t="shared" si="5"/>
        <v>20</v>
      </c>
      <c r="Q22" s="12">
        <f t="shared" si="5"/>
        <v>21</v>
      </c>
    </row>
    <row r="23" spans="1:21" ht="18.75" x14ac:dyDescent="0.25">
      <c r="A23">
        <v>125</v>
      </c>
      <c r="B23" s="12">
        <f>H22+1</f>
        <v>22</v>
      </c>
      <c r="C23" s="9">
        <f t="shared" si="4"/>
        <v>23</v>
      </c>
      <c r="D23" s="9">
        <f t="shared" si="4"/>
        <v>24</v>
      </c>
      <c r="E23" s="9">
        <f t="shared" si="4"/>
        <v>25</v>
      </c>
      <c r="F23" s="9">
        <f t="shared" si="4"/>
        <v>26</v>
      </c>
      <c r="G23" s="9">
        <f t="shared" si="4"/>
        <v>27</v>
      </c>
      <c r="H23" s="12">
        <f t="shared" si="4"/>
        <v>28</v>
      </c>
      <c r="K23" s="12">
        <f>Q22+1</f>
        <v>22</v>
      </c>
      <c r="L23" s="9">
        <f t="shared" si="5"/>
        <v>23</v>
      </c>
      <c r="M23" s="9">
        <f t="shared" si="5"/>
        <v>24</v>
      </c>
      <c r="N23" s="9">
        <f t="shared" si="5"/>
        <v>25</v>
      </c>
      <c r="O23" s="9">
        <f t="shared" si="5"/>
        <v>26</v>
      </c>
      <c r="P23" s="9">
        <f t="shared" si="5"/>
        <v>27</v>
      </c>
      <c r="Q23" s="12">
        <f t="shared" si="5"/>
        <v>28</v>
      </c>
    </row>
    <row r="24" spans="1:21" ht="18.75" x14ac:dyDescent="0.25">
      <c r="A24">
        <v>125</v>
      </c>
      <c r="B24" s="12">
        <f>H23+1</f>
        <v>29</v>
      </c>
      <c r="C24" s="9">
        <f>B24+1</f>
        <v>30</v>
      </c>
      <c r="D24" s="4"/>
      <c r="E24" s="4"/>
      <c r="F24" s="4"/>
      <c r="G24" s="4"/>
      <c r="H24" s="4"/>
      <c r="K24" s="12">
        <f>Q23+1</f>
        <v>29</v>
      </c>
      <c r="L24" s="9">
        <f>K24+1</f>
        <v>30</v>
      </c>
      <c r="M24" s="4"/>
      <c r="N24" s="4"/>
      <c r="O24" s="4"/>
      <c r="P24" s="4"/>
      <c r="Q24" s="4"/>
    </row>
    <row r="25" spans="1:21" x14ac:dyDescent="0.25">
      <c r="B25">
        <v>560</v>
      </c>
      <c r="C25">
        <v>340</v>
      </c>
      <c r="D25">
        <v>220</v>
      </c>
      <c r="E25">
        <v>360</v>
      </c>
      <c r="F25">
        <v>350</v>
      </c>
      <c r="G25">
        <v>350</v>
      </c>
      <c r="H25">
        <v>485</v>
      </c>
      <c r="K25" s="1">
        <v>120</v>
      </c>
      <c r="L25">
        <v>86</v>
      </c>
      <c r="M25">
        <v>76</v>
      </c>
      <c r="N25">
        <v>94</v>
      </c>
      <c r="O25">
        <v>73</v>
      </c>
      <c r="P25">
        <v>120</v>
      </c>
      <c r="Q25">
        <v>123</v>
      </c>
    </row>
    <row r="26" spans="1:21" x14ac:dyDescent="0.25">
      <c r="H26">
        <v>2665</v>
      </c>
      <c r="K26">
        <v>692</v>
      </c>
    </row>
    <row r="28" spans="1:21" ht="18.75" x14ac:dyDescent="0.25">
      <c r="B28" s="43" t="s">
        <v>306</v>
      </c>
      <c r="C28" s="43"/>
      <c r="D28" s="43"/>
      <c r="E28" s="43"/>
      <c r="F28" s="43"/>
      <c r="G28" s="43"/>
      <c r="H28" s="43"/>
      <c r="K28" s="43" t="s">
        <v>307</v>
      </c>
      <c r="L28" s="43"/>
      <c r="M28" s="43"/>
      <c r="N28" s="43"/>
      <c r="O28" s="43"/>
      <c r="P28" s="43"/>
      <c r="Q28" s="43"/>
    </row>
    <row r="29" spans="1:21" ht="18.75" x14ac:dyDescent="0.25">
      <c r="B29" s="43" t="s">
        <v>31</v>
      </c>
      <c r="C29" s="43"/>
      <c r="D29" s="43"/>
      <c r="E29" s="43"/>
      <c r="F29" s="43"/>
      <c r="G29" s="43"/>
      <c r="H29" s="43"/>
      <c r="K29" s="43" t="s">
        <v>31</v>
      </c>
      <c r="L29" s="43"/>
      <c r="M29" s="43"/>
      <c r="N29" s="43"/>
      <c r="O29" s="43"/>
      <c r="P29" s="43"/>
      <c r="Q29" s="43"/>
    </row>
    <row r="30" spans="1:21" ht="18.75" x14ac:dyDescent="0.25"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K30" s="4" t="s">
        <v>2</v>
      </c>
      <c r="L30" s="4" t="s">
        <v>3</v>
      </c>
      <c r="M30" s="4" t="s">
        <v>4</v>
      </c>
      <c r="N30" s="4" t="s">
        <v>5</v>
      </c>
      <c r="O30" s="4" t="s">
        <v>6</v>
      </c>
      <c r="P30" s="4" t="s">
        <v>7</v>
      </c>
      <c r="Q30" s="4" t="s">
        <v>8</v>
      </c>
    </row>
    <row r="31" spans="1:21" ht="18.75" x14ac:dyDescent="0.25">
      <c r="B31" s="4"/>
      <c r="C31" s="4"/>
      <c r="D31" s="9">
        <v>1</v>
      </c>
      <c r="E31" s="9">
        <f t="shared" ref="E31:H34" si="6">D31+1</f>
        <v>2</v>
      </c>
      <c r="F31" s="9">
        <f t="shared" si="6"/>
        <v>3</v>
      </c>
      <c r="G31" s="9">
        <f t="shared" si="6"/>
        <v>4</v>
      </c>
      <c r="H31" s="12">
        <f t="shared" si="6"/>
        <v>5</v>
      </c>
      <c r="K31" s="4"/>
      <c r="L31" s="4"/>
      <c r="M31" s="9">
        <v>1</v>
      </c>
      <c r="N31" s="9">
        <f t="shared" ref="N31:Q34" si="7">M31+1</f>
        <v>2</v>
      </c>
      <c r="O31" s="9">
        <f t="shared" si="7"/>
        <v>3</v>
      </c>
      <c r="P31" s="9">
        <f t="shared" si="7"/>
        <v>4</v>
      </c>
      <c r="Q31" s="12">
        <f t="shared" si="7"/>
        <v>5</v>
      </c>
    </row>
    <row r="32" spans="1:21" ht="18.75" x14ac:dyDescent="0.25">
      <c r="B32" s="12">
        <f>H31+1</f>
        <v>6</v>
      </c>
      <c r="C32" s="9">
        <f t="shared" ref="C32:D35" si="8">B32+1</f>
        <v>7</v>
      </c>
      <c r="D32" s="9">
        <f t="shared" si="8"/>
        <v>8</v>
      </c>
      <c r="E32" s="9">
        <f t="shared" si="6"/>
        <v>9</v>
      </c>
      <c r="F32" s="9">
        <f t="shared" si="6"/>
        <v>10</v>
      </c>
      <c r="G32" s="9">
        <f t="shared" si="6"/>
        <v>11</v>
      </c>
      <c r="H32" s="12">
        <f t="shared" si="6"/>
        <v>12</v>
      </c>
      <c r="K32" s="12">
        <f>Q31+1</f>
        <v>6</v>
      </c>
      <c r="L32" s="12">
        <f t="shared" ref="L32:M35" si="9">K32+1</f>
        <v>7</v>
      </c>
      <c r="M32" s="9">
        <f t="shared" si="9"/>
        <v>8</v>
      </c>
      <c r="N32" s="9">
        <f t="shared" si="7"/>
        <v>9</v>
      </c>
      <c r="O32" s="9">
        <f t="shared" si="7"/>
        <v>10</v>
      </c>
      <c r="P32" s="12">
        <f t="shared" si="7"/>
        <v>11</v>
      </c>
      <c r="Q32" s="12">
        <f t="shared" si="7"/>
        <v>12</v>
      </c>
    </row>
    <row r="33" spans="2:17" ht="18.75" x14ac:dyDescent="0.25">
      <c r="B33" s="12">
        <f>H32+1</f>
        <v>13</v>
      </c>
      <c r="C33" s="9">
        <f t="shared" si="8"/>
        <v>14</v>
      </c>
      <c r="D33" s="9">
        <f t="shared" si="8"/>
        <v>15</v>
      </c>
      <c r="E33" s="9">
        <f t="shared" si="6"/>
        <v>16</v>
      </c>
      <c r="F33" s="12">
        <f t="shared" si="6"/>
        <v>17</v>
      </c>
      <c r="G33" s="9">
        <f t="shared" si="6"/>
        <v>18</v>
      </c>
      <c r="H33" s="12">
        <f t="shared" si="6"/>
        <v>19</v>
      </c>
      <c r="K33" s="12">
        <f>Q32+1</f>
        <v>13</v>
      </c>
      <c r="L33" s="9">
        <f t="shared" si="9"/>
        <v>14</v>
      </c>
      <c r="M33" s="9">
        <f t="shared" si="9"/>
        <v>15</v>
      </c>
      <c r="N33" s="9">
        <f t="shared" si="7"/>
        <v>16</v>
      </c>
      <c r="O33" s="12">
        <f t="shared" si="7"/>
        <v>17</v>
      </c>
      <c r="P33" s="9">
        <f t="shared" si="7"/>
        <v>18</v>
      </c>
      <c r="Q33" s="12">
        <f t="shared" si="7"/>
        <v>19</v>
      </c>
    </row>
    <row r="34" spans="2:17" ht="18.75" x14ac:dyDescent="0.25">
      <c r="B34" s="12">
        <f>H33+1</f>
        <v>20</v>
      </c>
      <c r="C34" s="9">
        <f t="shared" si="8"/>
        <v>21</v>
      </c>
      <c r="D34" s="9">
        <f t="shared" si="8"/>
        <v>22</v>
      </c>
      <c r="E34" s="9">
        <f t="shared" si="6"/>
        <v>23</v>
      </c>
      <c r="F34" s="9">
        <f t="shared" si="6"/>
        <v>24</v>
      </c>
      <c r="G34" s="9">
        <f t="shared" si="6"/>
        <v>25</v>
      </c>
      <c r="H34" s="12">
        <f t="shared" si="6"/>
        <v>26</v>
      </c>
      <c r="K34" s="12">
        <f>Q33+1</f>
        <v>20</v>
      </c>
      <c r="L34" s="9">
        <f t="shared" si="9"/>
        <v>21</v>
      </c>
      <c r="M34" s="9">
        <f t="shared" si="9"/>
        <v>22</v>
      </c>
      <c r="N34" s="9">
        <f t="shared" si="7"/>
        <v>23</v>
      </c>
      <c r="O34" s="9">
        <f t="shared" si="7"/>
        <v>24</v>
      </c>
      <c r="P34" s="9">
        <f t="shared" si="7"/>
        <v>25</v>
      </c>
      <c r="Q34" s="9">
        <f t="shared" si="7"/>
        <v>26</v>
      </c>
    </row>
    <row r="35" spans="2:17" ht="18.75" x14ac:dyDescent="0.25">
      <c r="B35" s="12">
        <f>H34+1</f>
        <v>27</v>
      </c>
      <c r="C35" s="9">
        <f t="shared" si="8"/>
        <v>28</v>
      </c>
      <c r="D35" s="9">
        <f t="shared" si="8"/>
        <v>29</v>
      </c>
      <c r="E35" s="9">
        <f>D35+1</f>
        <v>30</v>
      </c>
      <c r="F35" s="9">
        <f>E35+1</f>
        <v>31</v>
      </c>
      <c r="G35" s="4"/>
      <c r="H35" s="4"/>
      <c r="K35" s="9">
        <f>Q34+1</f>
        <v>27</v>
      </c>
      <c r="L35" s="5">
        <f t="shared" si="9"/>
        <v>28</v>
      </c>
      <c r="M35" s="9">
        <f t="shared" si="9"/>
        <v>29</v>
      </c>
      <c r="N35" s="9">
        <f>M35+1</f>
        <v>30</v>
      </c>
      <c r="O35" s="9">
        <f>N35+1</f>
        <v>31</v>
      </c>
      <c r="P35" s="4"/>
      <c r="Q35" s="4"/>
    </row>
    <row r="36" spans="2:17" x14ac:dyDescent="0.25">
      <c r="B36">
        <v>505</v>
      </c>
      <c r="C36">
        <v>365</v>
      </c>
      <c r="D36">
        <v>430</v>
      </c>
      <c r="E36">
        <v>545</v>
      </c>
      <c r="F36">
        <v>518</v>
      </c>
      <c r="G36">
        <v>415</v>
      </c>
      <c r="H36">
        <v>608</v>
      </c>
      <c r="K36">
        <v>110</v>
      </c>
      <c r="L36">
        <v>80</v>
      </c>
      <c r="M36">
        <v>100</v>
      </c>
      <c r="N36">
        <v>100</v>
      </c>
      <c r="O36">
        <v>110</v>
      </c>
      <c r="P36">
        <v>90</v>
      </c>
      <c r="Q36">
        <v>110</v>
      </c>
    </row>
  </sheetData>
  <mergeCells count="12">
    <mergeCell ref="K17:Q17"/>
    <mergeCell ref="K18:Q18"/>
    <mergeCell ref="B7:H7"/>
    <mergeCell ref="B6:H6"/>
    <mergeCell ref="K6:Q6"/>
    <mergeCell ref="K7:Q7"/>
    <mergeCell ref="B17:H17"/>
    <mergeCell ref="B28:H28"/>
    <mergeCell ref="B29:H29"/>
    <mergeCell ref="K28:Q28"/>
    <mergeCell ref="K29:Q29"/>
    <mergeCell ref="B18:H1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TRABAJO DIARIO</vt:lpstr>
      <vt:lpstr>EFECTIVO-YAPE DIARIO</vt:lpstr>
      <vt:lpstr>PAGOS Y ALMUERZO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</dc:creator>
  <cp:lastModifiedBy>PC</cp:lastModifiedBy>
  <dcterms:created xsi:type="dcterms:W3CDTF">2025-05-24T17:46:55Z</dcterms:created>
  <dcterms:modified xsi:type="dcterms:W3CDTF">2025-09-13T02:47:12Z</dcterms:modified>
</cp:coreProperties>
</file>